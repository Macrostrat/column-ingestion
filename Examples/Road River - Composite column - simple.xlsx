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Daven/Projects/Macrostrat/Workbench/Code/macrostrat/submodules/column-ingestion/Examples/"/>
    </mc:Choice>
  </mc:AlternateContent>
  <xr:revisionPtr revIDLastSave="0" documentId="13_ncr:1_{41072268-D4C1-4C4D-9EEF-D7A7AFC00B50}" xr6:coauthVersionLast="47" xr6:coauthVersionMax="47" xr10:uidLastSave="{00000000-0000-0000-0000-000000000000}"/>
  <bookViews>
    <workbookView xWindow="4360" yWindow="660" windowWidth="25840" windowHeight="21680" tabRatio="747" activeTab="3" xr2:uid="{00000000-000D-0000-FFFF-FFFF00000000}"/>
  </bookViews>
  <sheets>
    <sheet name="metadata" sheetId="11" r:id="rId1"/>
    <sheet name="units" sheetId="2" r:id="rId2"/>
    <sheet name="facies" sheetId="12" r:id="rId3"/>
    <sheet name="columns" sheetId="7" r:id="rId4"/>
    <sheet name="refs" sheetId="9" r:id="rId5"/>
  </sheets>
  <definedNames>
    <definedName name="_xlnm._FilterDatabase" localSheetId="1" hidden="1">units!$A$1:$A$123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tc={CBB04592-791C-3D41-9CB3-24301AC8986C}</author>
    <author>tc={1C4477D3-6CEF-E244-A3F4-849841C44414}</author>
  </authors>
  <commentList>
    <comment ref="P1" authorId="0" shapeId="0" xr:uid="{CBB04592-791C-3D41-9CB3-24301AC8986C}">
      <text>
        <t>[Threaded comment]
Your version of Excel allows you to read this threaded comment; however, any edits to it will get removed if the file is opened in a newer version of Excel. Learn more: https://go.microsoft.com/fwlink/?linkid=870924
Comment:
    Replaced following columns with facies:
- environment
- unit_description
- lithology
- minor_lith</t>
      </text>
    </comment>
    <comment ref="A40" authorId="1" shapeId="0" xr:uid="{1C4477D3-6CEF-E244-A3F4-849841C44414}">
      <text>
        <t>[Threaded comment]
Your version of Excel allows you to read this threaded comment; however, any edits to it will get removed if the file is opened in a newer version of Excel. Learn more: https://go.microsoft.com/fwlink/?linkid=870924
Comment:
    This is a gap but it the top of the section so I wasn’t sure if it was necessary to include for things to stack properly?</t>
      </text>
    </comment>
  </commentList>
</comments>
</file>

<file path=xl/sharedStrings.xml><?xml version="1.0" encoding="utf-8"?>
<sst xmlns="http://schemas.openxmlformats.org/spreadsheetml/2006/main" count="726" uniqueCount="253">
  <si>
    <t>unit_id</t>
  </si>
  <si>
    <t>t_prop</t>
  </si>
  <si>
    <t>b_prop</t>
  </si>
  <si>
    <t>unit_name</t>
  </si>
  <si>
    <t>section_id</t>
  </si>
  <si>
    <t>minor_lith</t>
  </si>
  <si>
    <t>environment</t>
  </si>
  <si>
    <t>strat_name</t>
  </si>
  <si>
    <t>max_thickness</t>
  </si>
  <si>
    <t>min_thickness</t>
  </si>
  <si>
    <t>col_id</t>
  </si>
  <si>
    <t>col_name</t>
  </si>
  <si>
    <t>col_group</t>
  </si>
  <si>
    <t>geom</t>
  </si>
  <si>
    <t>date_collected</t>
  </si>
  <si>
    <t>col_type</t>
  </si>
  <si>
    <t>project_id</t>
  </si>
  <si>
    <t>project_name</t>
  </si>
  <si>
    <t>date</t>
  </si>
  <si>
    <t>compiler_name</t>
  </si>
  <si>
    <t>compiler_orcid</t>
  </si>
  <si>
    <t>compile_date</t>
  </si>
  <si>
    <t>ref_id</t>
  </si>
  <si>
    <t>title</t>
  </si>
  <si>
    <t>authors</t>
  </si>
  <si>
    <t>publication</t>
  </si>
  <si>
    <t>doi</t>
  </si>
  <si>
    <t>compilation</t>
  </si>
  <si>
    <t>url</t>
  </si>
  <si>
    <t>meters</t>
  </si>
  <si>
    <t>position_unit</t>
  </si>
  <si>
    <t>axis_type</t>
  </si>
  <si>
    <t>col_id</t>
  </si>
  <si>
    <t>t_int</t>
  </si>
  <si>
    <t>b_int</t>
  </si>
  <si>
    <t>lithology</t>
  </si>
  <si>
    <t>comments</t>
  </si>
  <si>
    <t>description</t>
  </si>
  <si>
    <t>rgeom</t>
  </si>
  <si>
    <t>time_unit</t>
  </si>
  <si>
    <t>Ma</t>
  </si>
  <si>
    <t>srid</t>
  </si>
  <si>
    <t>organization</t>
  </si>
  <si>
    <t>EPSG:4326</t>
  </si>
  <si>
    <t>timescale</t>
  </si>
  <si>
    <t>ref_ids</t>
  </si>
  <si>
    <t>international intervals</t>
  </si>
  <si>
    <t>basal_surface</t>
  </si>
  <si>
    <t>lateral_relationship</t>
  </si>
  <si>
    <t>t_pos</t>
  </si>
  <si>
    <t>b_pos</t>
  </si>
  <si>
    <t>facies_id</t>
  </si>
  <si>
    <t>facies</t>
  </si>
  <si>
    <t>facies_group</t>
  </si>
  <si>
    <t>interpretation</t>
  </si>
  <si>
    <t>Facies Association 1</t>
  </si>
  <si>
    <t>Facies Association 2</t>
  </si>
  <si>
    <t>Facies Association 3</t>
  </si>
  <si>
    <t>Facies Association 4</t>
  </si>
  <si>
    <t>Facies Association 5</t>
  </si>
  <si>
    <t>Facies Association 6</t>
  </si>
  <si>
    <t>Facies Association 7</t>
  </si>
  <si>
    <t>Facies Association 8</t>
  </si>
  <si>
    <t>Facies Association 9</t>
  </si>
  <si>
    <t>road_river</t>
  </si>
  <si>
    <t>J1610</t>
  </si>
  <si>
    <t>FA1</t>
  </si>
  <si>
    <t>FA2</t>
  </si>
  <si>
    <t>FA3</t>
  </si>
  <si>
    <t>FA4</t>
  </si>
  <si>
    <t>FA5</t>
  </si>
  <si>
    <t>FA6</t>
  </si>
  <si>
    <t>FA7</t>
  </si>
  <si>
    <t>FA8</t>
  </si>
  <si>
    <t>FA9</t>
  </si>
  <si>
    <t>FA2, FA6</t>
  </si>
  <si>
    <t>FA3, FA6</t>
  </si>
  <si>
    <t>FA3, FA4</t>
  </si>
  <si>
    <t>J1611</t>
  </si>
  <si>
    <t>J1609</t>
  </si>
  <si>
    <t>15-TF-05</t>
  </si>
  <si>
    <t>FA1, FA4</t>
  </si>
  <si>
    <t>FA4, FA5</t>
  </si>
  <si>
    <t>FA5, FA8</t>
  </si>
  <si>
    <t>15-TF-07</t>
  </si>
  <si>
    <t>J1518</t>
  </si>
  <si>
    <t>FA1, FA2</t>
  </si>
  <si>
    <t>FA3, FA8</t>
  </si>
  <si>
    <t>FA1, FA3, FA8</t>
  </si>
  <si>
    <t>FA1, FA3</t>
  </si>
  <si>
    <t>J1729</t>
  </si>
  <si>
    <t>FA8, FA9</t>
  </si>
  <si>
    <t>J1727</t>
  </si>
  <si>
    <t>17-TF-03</t>
  </si>
  <si>
    <t>J1728</t>
  </si>
  <si>
    <t>FA2, FA3, FA4</t>
  </si>
  <si>
    <t>FA2, FA4</t>
  </si>
  <si>
    <t>T1701</t>
  </si>
  <si>
    <t>FA3, FA6, FA7</t>
  </si>
  <si>
    <t>FA6, FA7</t>
  </si>
  <si>
    <t>Slats Creek Formation</t>
  </si>
  <si>
    <t xml:space="preserve">conformable </t>
  </si>
  <si>
    <t>sharp</t>
  </si>
  <si>
    <t>gradational; fault</t>
  </si>
  <si>
    <t>conformable</t>
  </si>
  <si>
    <t>Road River Group, Vittrekwa Formation</t>
  </si>
  <si>
    <t>Road River Group, Tetlit Formation</t>
  </si>
  <si>
    <t>Road River Group, Mount Hare Formation</t>
  </si>
  <si>
    <t>Road River Group, Cronin Formation</t>
  </si>
  <si>
    <t>comp_b_pos</t>
  </si>
  <si>
    <t>Verbatim Composition</t>
  </si>
  <si>
    <t>Verbatim Bedding style/structures</t>
  </si>
  <si>
    <t>Verbatim depositional mechanism/environment</t>
  </si>
  <si>
    <t>nodular carbonate; nodular chert</t>
  </si>
  <si>
    <t>Black- to dark-grey shale or mudstone; ⬃0.15–8.5 wt.% total organic carbon; partially to completely siliciﬁed locally; rare carbonate or chert nodules; locally disseminated to abundant calcite, dolomite, Fe-oxides, pyrite, sphalerite, and barite; gradational into FA 2 and locally interbedded with other FAs.</t>
  </si>
  <si>
    <t>Typically structureless to planar-laminated, ﬁssile, and recessive; commonly graptolitic and unbioturbated; form monotonous decametre-thick stratal units or interbeds in coarser-grained facies; very-thin to indeterminate bedding with sharp, planar basal contacts and rare undulatory upper contacts due to local erosion.</t>
  </si>
  <si>
    <t>Hemipelagic suspension sedimentation or suspension settling from dilute turbidity current tail; siliciﬁcation a combination of primary silica-rich contribution from sponge spicules and/or radiolarians or post- depositional diagenetic mobilization of silica; lower slope, basin-ﬂoor, and/or distal levee setting.</t>
  </si>
  <si>
    <t>Black- to light-grey calcareous shale or mudstone; ⬃0.15–8.5 wt.% total organic carbon; rarely siliciﬁed; abundant calcite and dolomite nodules and concretions; disseminated to abundant pyrite and barite; some beds with &lt;1 cm thick basal calcisiltite, wackestone, or grainstone; gradational into FA 1 and widely present in close association with other FAs.</t>
  </si>
  <si>
    <t>Typically structureless to planar- laminated, resistant but locally recessive; bioturbation common; locally graptolitic forms monotonous decametre-thick stratal units or interbeds in coarser-grained facies; thin to indeterminate bedding with sharp, planar basal contacts and rare undulatory upper contacts; occasional slump folds, synsedimentary truncation surfaces, and chaotic internal lamination; grading common with thin interbeds.</t>
  </si>
  <si>
    <t>Hemipelagic suspension sedimentation, suspension settling from dilute turbidity current tail, bed-load deposition from low- concentration, low-energy, ﬁne-grained turbidity currents or storm-generated plumes; very thin basal coarse-grained interbeds indicate ﬂows with abundant mud/ silt content and low sand-sized content; calcareous material likely sourced from surrounding shallow carbonate platforms.</t>
  </si>
  <si>
    <t>Dark-grey to black bedded to replacive chert and siliciﬁed shale; composed of microcrystalline silica with disseminated crystals of calcite, dolomite, and pyrite; occasional hints of unidentiﬁed radiolarians or sponge spicules; gradational into or replacive of other ﬁne-grained FAs.</t>
  </si>
  <si>
    <t>Very-thin- to thick-bedded with occasional parallel to wavy lamination; commonly fabric destructive and associated with intervals of coarse-grained FAs, concretionary zones, or compaction-related chaotic bedding; tend to be fully replacive or nucleated on coarser-grained beds or lenses; locally graptolitic.</t>
  </si>
  <si>
    <t>Presence of biogenic silica sources may indicate primary hemipelagic sedimentation in a basin-ﬂoor to slope setting; post-depositional fabrics suggest diagenetic mobilization and replacement of primary carbonate or siliciclastic FAs.</t>
  </si>
  <si>
    <t>Light-grey to black lime mudstone, calcisiltite, wackestone, and very-ﬁne- to very-coarse-grained grainstone interbedded with yellowish grey to black lime mudstone and shale; local lenticular to stratiform intervals of fossiliferous packstone; ferruginous to sulﬁdic shale drapes and black chert common with intervals displaying partial to complete siliciﬁcation; locally pyritic with occasional pyrite concretions; gradational to abrupt transitions into all documented FAs; the most common FA in the Road River Group.</t>
  </si>
  <si>
    <t>Thin- to medium-bedded with consistent display of partial to complete Bouma subdivisions; planar to undulatory bases and tops of beds; local lenticular geometries of coarser facies with distinct erosional bases; slump folds, synsedimentary truncation surfaces, and soft-sediment deformation present; variable proportions of limestone to shale/mudstone, but separated herein from FA 6 and FA 7 by &gt;50% ﬁne-grained strata; bed thickening and thinning trends are locally apparent, but remarkably consistent in instances; commonly graptolitic and locally bioturbated.</t>
  </si>
  <si>
    <t>Ranges from hemipelagic suspension sedimentation to deposition from waning grain- to mud-rich turbidity currents; coarser- grained basal TA division deposited during rapid suspension fallout from high-density turbidity currents with transitions to TB and TC indicating reworking of TA by tail of turbidity current; TDE sedimentation from dilute tail ofﬂow or hemipelagic fallout; consistent with proximal to distal deep-marine levee or channel sedimentation with carbonate derived from platforms.</t>
  </si>
  <si>
    <t>Medium- to thick-bedded and resistant cliff-former; occasionally laminated to massive with sharp basal surfaces and planar to gradational upper surfaces displaying normal grading; bioturbation and chert nodules common to absent; commonly stratiform and regular; rare slump-folded intervals or chaotic lamination in ﬁne-grained strata below or interbedded with dolosiltite/dolograinstone facies; Bouma subdivisions TABC with TDE caps.</t>
  </si>
  <si>
    <t>Buff yellow- to orange-weathering dolosiltite/calcisiltite and argillaceous dolograinstone; locally siliceous with abundant disseminated pyrite; some beds with basal ⬃1–10 cm dominated by fossiliferous grainstone or wackestone with local mudstone or shale intraclasts; some beds capped with planar or ripple cross-stratiﬁed dolograinstone or dolosiltite overlain by ﬁne-grained strata of FA 1, FA 2, or FA 4.</t>
  </si>
  <si>
    <t>Rapid suspension fallout from silt- and sand rich carbonate high-density turbidity currents in slope or basin-ﬂoor channel or levee complexes; source from storm-generated plumes also possible.</t>
  </si>
  <si>
    <t>Blueish-grey to dark-grey parted to ribbon- bedded lime mudstone, calcisiltite, and calcareous shale with rare &lt;1 cm thick basal wackestone or very-ﬁne-grained grainstone interbeds; local calcareous shale drapes commonly &lt;5 cm thick; black chert nodules common; grainstone interbeds locally fossiliferous with articulate and inarticulate brachiopod debris; commonly gradational into FA 4 and FA 7.</t>
  </si>
  <si>
    <t>Very-thin- to medium-bedded with planar to wavy bounding surfaces; mostly featureless with local planar lamination and ripple cross-lamination; rare slump folds and chaotic soft- sediment deformation; bioturbation common and locally abundant; rare dendroidal graptolite fauna; mostly &gt;70% lime mudstone with thin calcareous shale partings; local preservation of Bouma TCDE or TDE subdivisions.</t>
  </si>
  <si>
    <t>Hemipelagic suspension sedimentation, suspension settling from dilute turbidity current tail, bed-load deposition from low-concentration, low-energy, ﬁne-grained turbidity currents or storm-generated plumes; very thin basal coarse-grained interbeds indicate ﬂows with abundant mud/silt content and low sand-sized content; calcareous material likely sourced from surrounding shallow carbonate platforms.</t>
  </si>
  <si>
    <t>Blueish-grey to dark-grey interbedded lime mudstone, calcisiltite, wackestone, and grainstone with &lt;5 cm thick black calcareous shale interbeds; grainstone interbeds locally fossiliferous with articulate and inarticulate brachiopod debris; black chert nodules locally present; commonly gradational into FA 4 and FA 6.</t>
  </si>
  <si>
    <t>Medium- to thick-bedded with planar to irregular bounding surfaces with local evidence for erosion; planar-laminated, cross-laminated, or massive with local normal grading; bioturbation and dendroidal graptolite fauna rare; slump folds and soft-sediment deformation locally common with complete to partial Bouma subdivisions throughout.</t>
  </si>
  <si>
    <t>Rapid suspension fallout from silt- and sand- rich carbonate high-density turbidity currents in slope or basin-ﬂoor channel or levee complexes; ﬁne-grained intervals representative of hemipelagic rainout or deposition from dilute tail of turbidity ﬂows; source from storm-generated plumes also possible.</t>
  </si>
  <si>
    <t>White to dark-grey clast- to matrix-supported intraclast rudstone and/or breccia; clasts range from pebble to boulder with derivation from allochthonous platform sources and FA 1 – FA 5; chert and secondary siliciﬁcation common with abundant cubic and concretionary pyrite; shale intraclasts common.</t>
  </si>
  <si>
    <t>Generally poorly sorted and stratiform in geometry with sharp basal contacts and little evidence for local erosion; sub- rounded to angular clasts either locally derived or from exotic shallow-water facies, including reef blocks, microbial and oolitic dolostone, siliciﬁed pisolites, and a wide variety of articulated and disarticulated fossil debris; internal shear surfaces rare, locally associated with slump folds, chaotic bedding, soft-sediment deformation, and concretions; locally normal graded into Bouma TA, TBC, or TCDE divisions.</t>
  </si>
  <si>
    <t>Deposited from carbonate-rich (cohesive) debris ﬂows that were sourced from a shallow- marine carbonate platform; clasts supported by the cohesive strength of the mud-sized carbonate matrix.</t>
  </si>
  <si>
    <t>White to light grey clast- to matrix-supported rudstone and megabreccia with clasts ranging from pebble to slab with derivation from allochthonous platform sources and FA1–FA5; shale intraclasts common; the main FA of the Aberdeen Member.</t>
  </si>
  <si>
    <t>Poorly sorted, very-thick-bedded stratiform unit with irregular to sharp basal contact; strata beneath commonly deformed; sub-rounded to angular clasts or blocks either locally derived or from shallow-water facies, including coral reef debris, microbial and oolitic dolostone, karst breccia, and a variety of articulated and disarticulated fossil debris; internal shear surfaces rare, but locally associated with slump folds, chaotic bedding, and soft-sediment deformation; upper parts of ﬂows normal graded into Bouma TA, TBC, or TCDE divisions.</t>
  </si>
  <si>
    <t>Deposited from carbonate-rich (cohesive) debris ﬂows that were sourced from a shallow-marine carbonate platform; clasts supported by the cohesive strength of the mud-sized carbonate matrix; slides formed from failure and downslope movement of the upslope seabed; localized internal shear from movement along shear planes during mass movement.</t>
  </si>
  <si>
    <t>Shale or Mudstone</t>
  </si>
  <si>
    <t>Calcareous shale or mudstone</t>
  </si>
  <si>
    <t>Chert and silicified shale</t>
  </si>
  <si>
    <t>Interbedded limestone, shale, and mudstone</t>
  </si>
  <si>
    <t>Dolosiltite and dolograinstone</t>
  </si>
  <si>
    <t>Parted to ribbon-bedded lime mudstone</t>
  </si>
  <si>
    <t>Medium- to thick-bedded limestone</t>
  </si>
  <si>
    <t>Shelf- and slope-derived rudstone and breccia</t>
  </si>
  <si>
    <t>Boulder rudstone/Megabreccia</t>
  </si>
  <si>
    <t>comp_t_pos</t>
  </si>
  <si>
    <t>2015-2017</t>
  </si>
  <si>
    <t>Road River Group</t>
  </si>
  <si>
    <t>even though this is technically a composite, because there is a continuous composite height and all columns are stacked end-to-end, would it make sense to treat it as a "section" column type and use m rather than age to plot?</t>
  </si>
  <si>
    <t>The Road River Group of northern Yukon, Canada: early Paleozoic deep-water sedimentation within the Great American Carbonate Bank</t>
  </si>
  <si>
    <t xml:space="preserve">Justin V. Strauss, Tiffani Fraser, Michael J. Melchin, Tyler J. Allen, Joseph Malinowski, Xiahong Feng, John F. Taylor, James Day, Benjamin C. Gill, and Erik A. Sperling </t>
  </si>
  <si>
    <t>Canadian Journal of Earth Sciences</t>
  </si>
  <si>
    <t>10.1139/cjes-2020-0017</t>
  </si>
  <si>
    <t>https://cdnsciencepub.com/doi/10.1139/cjes-2020-0017</t>
  </si>
  <si>
    <t>FA4, FA7</t>
  </si>
  <si>
    <t>FA2, FA4, FA7</t>
  </si>
  <si>
    <t>Guzhangian</t>
  </si>
  <si>
    <t>Emsian</t>
  </si>
  <si>
    <t>Givetian</t>
  </si>
  <si>
    <t>Middle Devonian</t>
  </si>
  <si>
    <t>Pragian</t>
  </si>
  <si>
    <t>Lochkovian</t>
  </si>
  <si>
    <t>Pridoli</t>
  </si>
  <si>
    <t>Ludfordian</t>
  </si>
  <si>
    <t>Homerian</t>
  </si>
  <si>
    <t>Sheinwoodian</t>
  </si>
  <si>
    <t>Telychian</t>
  </si>
  <si>
    <t>Aeronian</t>
  </si>
  <si>
    <t>Rhuddanian</t>
  </si>
  <si>
    <t>Katian</t>
  </si>
  <si>
    <t>Sandbian</t>
  </si>
  <si>
    <t>Darriwilian</t>
  </si>
  <si>
    <t>Floian</t>
  </si>
  <si>
    <t>Tremadocian</t>
  </si>
  <si>
    <t>Furongian, Stage 10</t>
  </si>
  <si>
    <t>Jiangshanian</t>
  </si>
  <si>
    <t>Paibian</t>
  </si>
  <si>
    <t>b_biozone</t>
  </si>
  <si>
    <t>t_biozone</t>
  </si>
  <si>
    <t xml:space="preserve">Neomonograptus yukonensis s. l </t>
  </si>
  <si>
    <t>Neomonograptus falcarius</t>
  </si>
  <si>
    <t>Monograptus uniformis</t>
  </si>
  <si>
    <t>Monograptus transgrediens/Monograptus perneri</t>
  </si>
  <si>
    <t>Formosograptus formosus</t>
  </si>
  <si>
    <t>Bohemograptus, Saetograptus leintwardinensis</t>
  </si>
  <si>
    <t>Colonograptus deubeli/Colonograptus praedeubeli, Colonograptus ludensis</t>
  </si>
  <si>
    <t>Cyrtograptus lundgreni</t>
  </si>
  <si>
    <t>Cyrtograptus rigidus/Monograptus antennularius/Monograptus belophorus</t>
  </si>
  <si>
    <t>Oktavites spiralis</t>
  </si>
  <si>
    <t>Cyrtograptus sakmaricus/Cyrtograptus laqueus</t>
  </si>
  <si>
    <t>Monoclimacis griestoniensis, Monoclimacis crenulata</t>
  </si>
  <si>
    <t>Streptograptus crispus, Spirograptus turriculatus</t>
  </si>
  <si>
    <t>Spirograptus turriculatus</t>
  </si>
  <si>
    <t>Spirograptus guerichi</t>
  </si>
  <si>
    <t>Lituigraptus convolutus</t>
  </si>
  <si>
    <t>Cystograptus vesiculosus</t>
  </si>
  <si>
    <t xml:space="preserve">Paraorthograptus pacificus </t>
  </si>
  <si>
    <t>Dicellograptus complanatus</t>
  </si>
  <si>
    <t>Climacograptus bicornis</t>
  </si>
  <si>
    <t>Diplacanthograptus caudatus</t>
  </si>
  <si>
    <t>Nemagraptus gracilis</t>
  </si>
  <si>
    <t xml:space="preserve">Hustedograptus teretiusculus </t>
  </si>
  <si>
    <t xml:space="preserve">Pterograptus elegans </t>
  </si>
  <si>
    <t>Pterograptus elegans</t>
  </si>
  <si>
    <t>Nicholsonograptus fasciculatus</t>
  </si>
  <si>
    <t>Nicholsonograptus fasciculatus, Holmograptus lentus, Levisograptus dentatus</t>
  </si>
  <si>
    <t>Holmograptus lentus, Levisograptus dentatus</t>
  </si>
  <si>
    <t>Levisograptus dentatus</t>
  </si>
  <si>
    <t>Levisograptus dentatus, Undulograptus austrodentatus</t>
  </si>
  <si>
    <t>Undulograptus austrodentatus</t>
  </si>
  <si>
    <t xml:space="preserve">Isograptus victoriae lunatus </t>
  </si>
  <si>
    <t>Didymagraptellus bifidus</t>
  </si>
  <si>
    <t>Pendeograptus fruticosus</t>
  </si>
  <si>
    <t>Tetragraptus approximatus</t>
  </si>
  <si>
    <t xml:space="preserve">Hunnegraptus copiosus, Paradelograptus kinnegraptoides </t>
  </si>
  <si>
    <t>Paradelograptus pritchardi</t>
  </si>
  <si>
    <t xml:space="preserve">Biozone determination: Italicized are uncertain biozones. When multiple biozones indicated (unclear which, or graptolites in opposite expected order), used comma separated list. When genus differed from GTS 2020, went with GTS version for consistency. </t>
  </si>
  <si>
    <t>Paradelograptus antiquus</t>
  </si>
  <si>
    <t>Adelograptus tenellus</t>
  </si>
  <si>
    <t>Anisograptus matanensis</t>
  </si>
  <si>
    <t>Rhabdinopora parabola</t>
  </si>
  <si>
    <t>Cordyloclus proavus</t>
  </si>
  <si>
    <t>Proconodontus muelleri</t>
  </si>
  <si>
    <t>Proconodontus tenuiserratus</t>
  </si>
  <si>
    <t>Glyptagnostus reticulatus</t>
  </si>
  <si>
    <t>Road River Group, Mount Hare Formation, Aberdeen Member</t>
  </si>
  <si>
    <t>Dark gray, black, thinly bedded, thickly bedded, graptolitic,  chert; dark gray, black, bedded, silicified shale</t>
  </si>
  <si>
    <t>tabular laminated, wavy bedded chert; tabular laminated, wavy bedded, silicified shale; radiolarian, spicular chert</t>
  </si>
  <si>
    <t>black, dark gray, light gray, calcareous, tabular laminated, bioturbated, graptolitic, thinly bedded, graded shale; black, dark gray, light gray, calcareous, tabular laminated, bioturbated, graptolitic, thinly bedded, graded mudstone</t>
  </si>
  <si>
    <t>black, dark gray, silicified, graptolitic, tabular laminated,  thinly bedded shale; black, dark gray, silicified, graptolitic, tabular laminated,  thinly bedded mudstone; 
black, dark gray, silicified, graptolitic, structureless,  thinly bedded shale; black, dark gray, silicified, graptolitic, structureless  thinly bedded  mudstone</t>
  </si>
  <si>
    <t>lenticular, bedded, fossiliferous packstone; 
ferruginous, sulfidic, thinly bedded shale; 
ferruginous, sulfidic, silicified shale drapes ; 
black chert; 
pyrite concretions</t>
  </si>
  <si>
    <t>light gray, dark gray, black, pyritic, lime mudstone, calcisiltite, wackestone, (very fine to very coarse) grainstone; 
yellowish gray, black, pyritic lime mudstone, shale;
soft sediment deformation [shared]; graptolitic, bioturbated [shared]</t>
  </si>
  <si>
    <t>wackestone; very fine, fossiliferous grainstone; thinly bedded calcareous shale; black nodular chert; soft sediment deformation</t>
  </si>
  <si>
    <t>bluish gray, dark gray, [shared];  thinly bedded, medium bedded, tabular, wavy bedded, bioturbated, lime mudstone .7, calcisiltite</t>
  </si>
  <si>
    <t>fossiliferous, intraclastic grainstone, wackestone
mudstone, shale; ripple laminations, planar laminations, dolomitic grainstone, dolomitic calcisiltite; laminated, massive, graded bed, soft sediment deformation [shared]</t>
  </si>
  <si>
    <t>yellow, orange, siliceous, pyritic, thickly bedded, regularly bedded, dolomitic calcisiltite; yellow, orange, siliceous, pyritic, thickly bedded, regularly bedded calcisiltite; yellow, orange, siliceous, pyritic, thickly bedded, regularly bedded, argillaceous, dolomitic grainstone</t>
  </si>
  <si>
    <t>bluish gray, dark gray, medium bedded, thick bedded, planar laminated, cross laminated, massive, graded bed [shared]; lime mudstone; calcisiltite; wackestone; grainstone</t>
  </si>
  <si>
    <t xml:space="preserve">thinly bedded, black, calcareous shale; fossiliferous grainstone; black, nodular chert; slump folds, bioturbation minor [shared] </t>
  </si>
  <si>
    <t>chert; soft sediment deformation, concretions [shared]</t>
  </si>
  <si>
    <t>white, light gray, gray, dark gray, pyritic, poorly sorted, graded, intraclastic, brecciated rudstone;
silicified .5 [shared]; pebble, boulder, angular, subangular, subrounded [clasts]</t>
  </si>
  <si>
    <t>White, light gray, thickly bedded, brecciated rudstone; White, light gray, thickly bedded megabreccia; pebble, cobble, boulder, poorly sorted, subrounded, subangular, angular [clasts]</t>
  </si>
  <si>
    <t>soft sediment deformation, graded [shared]</t>
  </si>
  <si>
    <t>silicified shale, mudstone;  calcisiltite, wackestone, grainstone; soft sediment deformation [shared]</t>
  </si>
  <si>
    <t>slope; basinal</t>
  </si>
  <si>
    <t>section</t>
  </si>
  <si>
    <t>height</t>
  </si>
  <si>
    <t>Strauss_2020</t>
  </si>
  <si>
    <t>POINT(0,0)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</si>
</sst>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font>
      <sz val="11"/>
      <color theme="1"/>
      <name val="Calibri"/>
      <family val="2"/>
      <scheme val="minor"/>
    </font>
    <font>
      <b/>
      <sz val="11"/>
      <name val="Calibri"/>
      <family val="2"/>
    </font>
    <font>
      <b/>
      <sz val="11"/>
      <color theme="1"/>
      <name val="Calibri"/>
      <family val="2"/>
      <scheme val="minor"/>
    </font>
    <font>
      <b/>
      <i/>
      <sz val="16"/>
      <color theme="1"/>
      <name val="Calibri (Body)"/>
    </font>
    <font>
      <b/>
      <sz val="18"/>
      <color theme="1"/>
      <name val="Calibri"/>
      <family val="2"/>
      <scheme val="minor"/>
    </font>
    <font>
      <b/>
      <sz val="22"/>
      <color theme="1"/>
      <name val="Calibri"/>
      <family val="2"/>
      <scheme val="minor"/>
    </font>
    <font>
      <sz val="11"/>
      <name val="Calibri"/>
      <family val="2"/>
    </font>
    <font>
      <sz val="16"/>
      <color theme="1"/>
      <name val="Calibri"/>
      <family val="2"/>
      <scheme val="minor"/>
    </font>
    <font>
      <b/>
      <i/>
      <sz val="12"/>
      <color theme="1"/>
      <name val="Calibri"/>
      <family val="2"/>
      <scheme val="minor"/>
    </font>
    <font>
      <i/>
      <sz val="12"/>
      <color theme="1"/>
      <name val="Calibri"/>
      <family val="2"/>
      <scheme val="minor"/>
    </font>
    <font>
      <i/>
      <sz val="11"/>
      <color theme="1"/>
      <name val="Calibri"/>
      <family val="2"/>
      <scheme val="minor"/>
    </font>
    <font>
      <u/>
      <sz val="11"/>
      <color theme="10"/>
      <name val="Calibri"/>
      <family val="2"/>
      <scheme val="minor"/>
    </font>
    <font>
      <sz val="11"/>
      <color rgb="FF000000"/>
      <name val="Calibri"/>
      <family val="2"/>
      <scheme val="minor"/>
    </font>
    <font>
      <sz val="8"/>
      <name val="Calibri"/>
      <family val="2"/>
      <scheme val="minor"/>
    </font>
    <font>
      <sz val="11"/>
      <color theme="1"/>
      <name val="SwiftNeueLTPro"/>
    </font>
    <font>
      <sz val="10"/>
      <name val="MS Sans Serif"/>
      <family val="2"/>
    </font>
  </fonts>
  <fills count="2">
    <fill>
      <patternFill patternType="none"/>
    </fill>
    <fill>
      <patternFill patternType="gray125"/>
    </fill>
  </fills>
  <borders count="1">
    <border>
      <left/>
      <right/>
      <top/>
      <bottom/>
      <diagonal/>
    </border>
  </borders>
  <cellStyleXfs count="3">
    <xf numFmtId="0" fontId="0" fillId="0" borderId="0"/>
    <xf numFmtId="0" fontId="11" fillId="0" borderId="0" applyNumberFormat="0" applyFill="0" applyBorder="0" applyAlignment="0" applyProtection="0"/>
    <xf numFmtId="0" fontId="15" fillId="0" borderId="0"/>
  </cellStyleXfs>
  <cellXfs count="36">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right"/>
    </xf>
    <xf numFmtId="0" fontId="2" fillId="0" borderId="0" xfId="0" applyFont="1"/>
    <xf numFmtId="0" fontId="5" fillId="0" borderId="0" xfId="0" applyFont="1"/>
    <xf numFmtId="14" fontId="0" fillId="0" borderId="0" xfId="0" applyNumberFormat="1" applyAlignment="1">
      <alignment horizontal="right"/>
    </xf>
    <xf numFmtId="0" fontId="1" fillId="0" borderId="0" xfId="0" applyFont="1" applyAlignment="1">
      <alignment horizontal="left" vertical="top" wrapText="1"/>
    </xf>
    <xf numFmtId="0" fontId="1" fillId="0" borderId="0" xfId="0" applyFont="1" applyAlignment="1">
      <alignment horizontal="left" vertical="top"/>
    </xf>
    <xf numFmtId="0" fontId="2" fillId="0" borderId="0" xfId="0" applyFont="1" applyAlignment="1">
      <alignment horizontal="left" vertical="top" wrapText="1"/>
    </xf>
    <xf numFmtId="0" fontId="2" fillId="0" borderId="0" xfId="0" applyFont="1" applyAlignment="1">
      <alignment horizontal="left" vertical="top"/>
    </xf>
    <xf numFmtId="0" fontId="6" fillId="0" borderId="0" xfId="0" applyFont="1" applyAlignment="1">
      <alignment horizontal="left" vertical="top" wrapText="1"/>
    </xf>
    <xf numFmtId="0" fontId="6" fillId="0" borderId="0" xfId="0" applyFont="1" applyAlignment="1">
      <alignment horizontal="left" vertical="top"/>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left" wrapText="1"/>
    </xf>
    <xf numFmtId="0" fontId="0" fillId="0" borderId="0" xfId="0" applyAlignment="1">
      <alignment horizontal="right" wrapText="1"/>
    </xf>
    <xf numFmtId="17" fontId="0" fillId="0" borderId="0" xfId="0" applyNumberFormat="1" applyAlignment="1">
      <alignment horizontal="right" wrapText="1"/>
    </xf>
    <xf numFmtId="0" fontId="2" fillId="0" borderId="0" xfId="0" applyFont="1" applyAlignment="1">
      <alignment horizontal="left" wrapText="1"/>
    </xf>
    <xf numFmtId="14" fontId="0" fillId="0" borderId="0" xfId="0" applyNumberFormat="1" applyAlignment="1">
      <alignment horizontal="left" wrapText="1"/>
    </xf>
    <xf numFmtId="0" fontId="3" fillId="0" borderId="0" xfId="0" applyFont="1"/>
    <xf numFmtId="0" fontId="10" fillId="0" borderId="0" xfId="0" applyFont="1" applyAlignment="1">
      <alignment horizontal="right" wrapText="1"/>
    </xf>
    <xf numFmtId="0" fontId="11" fillId="0" borderId="0" xfId="1" applyAlignment="1">
      <alignment horizontal="right" wrapText="1"/>
    </xf>
    <xf numFmtId="0" fontId="12" fillId="0" borderId="0" xfId="0" applyFont="1" applyAlignment="1">
      <alignment vertical="top" wrapText="1"/>
    </xf>
    <xf numFmtId="164" fontId="0" fillId="0" borderId="0" xfId="0" applyNumberFormat="1" applyAlignment="1">
      <alignment wrapText="1"/>
    </xf>
    <xf numFmtId="0" fontId="14" fillId="0" borderId="0" xfId="0" applyFont="1"/>
    <xf numFmtId="0" fontId="11" fillId="0" borderId="0" xfId="1"/>
    <xf numFmtId="164" fontId="0" fillId="0" borderId="0" xfId="0" applyNumberFormat="1"/>
    <xf numFmtId="0" fontId="12" fillId="0" borderId="0" xfId="0" applyFont="1" applyAlignment="1">
      <alignment wrapText="1"/>
    </xf>
    <xf numFmtId="0" fontId="10" fillId="0" borderId="0" xfId="0" applyFont="1"/>
    <xf numFmtId="0" fontId="7" fillId="0" borderId="0" xfId="0" applyFont="1" applyAlignment="1">
      <alignment horizontal="center" vertical="center"/>
    </xf>
    <xf numFmtId="0" fontId="9" fillId="0" borderId="0" xfId="0" applyFont="1" applyAlignment="1">
      <alignment horizontal="left" vertical="center"/>
    </xf>
    <xf numFmtId="0" fontId="8" fillId="0" borderId="0" xfId="0" applyFont="1" applyAlignment="1">
      <alignment horizontal="left" vertical="center"/>
    </xf>
    <xf numFmtId="0" fontId="4" fillId="0" borderId="0" xfId="0" applyFont="1" applyAlignment="1">
      <alignment horizontal="center"/>
    </xf>
  </cellXfs>
  <cellStyles count="3">
    <cellStyle name="Hyperlink" xfId="1" builtinId="8"/>
    <cellStyle name="Normal" xfId="0" builtinId="0"/>
    <cellStyle name="Normal 2 2" xfId="2" xr:uid="{729A2053-F829-0543-9979-05136C2D8C60}"/>
  </cellStyles>
  <dxfs count="4">
    <dxf>
      <font>
        <color auto="1"/>
      </font>
      <fill>
        <patternFill>
          <bgColor theme="8" tint="0.79998168889431442"/>
        </patternFill>
      </fill>
      <border>
        <left style="thin">
          <color auto="1"/>
        </left>
        <right style="thin">
          <color auto="1"/>
        </right>
        <top style="thin">
          <color auto="1"/>
        </top>
        <bottom style="thin">
          <color auto="1"/>
        </bottom>
        <vertical/>
        <horizontal/>
      </border>
    </dxf>
    <dxf>
      <font>
        <color auto="1"/>
      </font>
      <fill>
        <patternFill>
          <bgColor theme="8" tint="0.79998168889431442"/>
        </patternFill>
      </fill>
      <border>
        <left style="thin">
          <color auto="1"/>
        </left>
        <right style="thin">
          <color auto="1"/>
        </right>
        <top style="thin">
          <color auto="1"/>
        </top>
        <bottom style="thin">
          <color auto="1"/>
        </bottom>
        <vertical/>
        <horizontal/>
      </border>
    </dxf>
    <dxf>
      <font>
        <color auto="1"/>
      </font>
      <fill>
        <patternFill>
          <bgColor theme="8" tint="0.79998168889431442"/>
        </patternFill>
      </fill>
      <border>
        <left style="thin">
          <color auto="1"/>
        </left>
        <right style="thin">
          <color auto="1"/>
        </right>
        <top style="thin">
          <color auto="1"/>
        </top>
        <bottom style="thin">
          <color auto="1"/>
        </bottom>
        <vertical/>
        <horizontal/>
      </border>
    </dxf>
    <dxf>
      <font>
        <color auto="1"/>
      </font>
      <fill>
        <patternFill>
          <bgColor theme="8" tint="0.79998168889431442"/>
        </patternFill>
      </fill>
      <border>
        <left style="thin">
          <color auto="1"/>
        </left>
        <right style="thin">
          <color auto="1"/>
        </right>
        <top style="thin">
          <color auto="1"/>
        </top>
        <bottom style="thin">
          <color auto="1"/>
        </bottom>
        <vertical/>
        <horizontal/>
      </border>
    </dxf>
  </dxfs>
  <tableStyles count="0" defaultTableStyle="TableStyleMedium9" defaultPivotStyle="PivotStyleLight16"/>
  <colors>
    <mruColors>
      <color rgb="FFFF757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Sarah Leibovitz 24" id="{25F763E6-1BEB-D04D-A78C-7AA018A1ED06}" userId="S::sleibovitz24@amherst.edu::1b9a86c2-a210-4219-833a-aeeac1c6d40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P1" dT="2026-02-10T00:00:46.62" personId="{25F763E6-1BEB-D04D-A78C-7AA018A1ED06}" id="{CBB04592-791C-3D41-9CB3-24301AC8986C}">
    <text>Replaced following columns with facies:
- environment
- unit_description
- lithology
- minor_lith</text>
  </threadedComment>
  <threadedComment ref="A40" dT="2026-02-21T01:06:29.63" personId="{25F763E6-1BEB-D04D-A78C-7AA018A1ED06}" id="{1C4477D3-6CEF-E244-A3F4-849841C44414}">
    <text>This is a gap but it the top of the section so I wasn’t sure if it was necessary to include for things to stack properly?</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1139/cjes-2020-00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A3875-95E7-1441-8BC9-F2821D24F072}">
  <dimension ref="A1:D19"/>
  <sheetViews>
    <sheetView zoomScale="97" workbookViewId="0">
      <selection activeCell="B13" sqref="B13"/>
    </sheetView>
  </sheetViews>
  <sheetFormatPr baseColWidth="10" defaultRowHeight="15"/>
  <cols>
    <col min="1" max="1" width="24.5" customWidth="1"/>
    <col min="2" max="2" width="73.6640625" style="18" customWidth="1"/>
    <col min="3" max="3" width="36.33203125" style="18" customWidth="1"/>
    <col min="4" max="4" width="24.5" style="16" customWidth="1"/>
  </cols>
  <sheetData>
    <row r="1" spans="1:2">
      <c r="A1" s="6" t="s">
        <v>17</v>
      </c>
      <c r="B1" t="inlineStr">
        <is>
          <t>Road River Group</t>
        </is>
      </c>
    </row>
    <row r="2" spans="1:2">
      <c r="A2" t="s">
        <v>42</v>
      </c>
      <c r="B2" s="5"/>
    </row>
    <row r="3" spans="1:2">
      <c r="A3" t="s">
        <v>28</v>
      </c>
      <c r="B3" s="5"/>
    </row>
    <row r="4" spans="1:2">
      <c r="A4" t="s">
        <v>16</v>
      </c>
      <c r="B4" s="5"/>
    </row>
    <row r="5" spans="1:2">
      <c r="A5" t="s">
        <v>21</v>
      </c>
      <c r="B5" s="8">
        <f ca="1">TODAY()</f>
        <v>46305</v>
      </c>
    </row>
    <row r="6" spans="1:2">
      <c r="A6" t="s">
        <v>19</v>
      </c>
      <c r="B6" s="5"/>
    </row>
    <row r="7" spans="1:2">
      <c r="A7" t="s">
        <v>20</v>
      </c>
      <c r="B7" s="5"/>
    </row>
    <row r="8" spans="1:2">
      <c r="A8" t="s">
        <v>15</v>
      </c>
      <c r="B8" s="5" t="s">
        <v>249</v>
      </c>
    </row>
    <row r="9" spans="1:2" ht="16">
      <c r="A9" t="s">
        <v>31</v>
      </c>
      <c r="B9" s="18" t="s">
        <v>250</v>
      </c>
    </row>
    <row r="10" spans="1:2">
      <c r="A10" t="s">
        <v>34</v>
      </c>
    </row>
    <row r="11" spans="1:2">
      <c r="A11" t="s">
        <v>33</v>
      </c>
    </row>
    <row r="12" spans="1:2">
      <c r="A12" t="s">
        <v>2</v>
      </c>
    </row>
    <row r="13" spans="1:2">
      <c r="A13" t="s">
        <v>1</v>
      </c>
      <c r="B13" s="5"/>
    </row>
    <row r="14" spans="1:2">
      <c r="A14" t="s">
        <v>38</v>
      </c>
      <c r="B14" s="5"/>
    </row>
    <row r="15" spans="1:2">
      <c r="A15" t="s">
        <v>30</v>
      </c>
      <c r="B15" s="5" t="s">
        <v>29</v>
      </c>
    </row>
    <row r="16" spans="1:2">
      <c r="A16" s="3" t="s">
        <v>39</v>
      </c>
      <c r="B16" s="5" t="s">
        <v>40</v>
      </c>
    </row>
    <row r="17" spans="1:4" ht="16">
      <c r="A17" s="3" t="s">
        <v>44</v>
      </c>
      <c r="B17" s="18" t="s">
        <v>46</v>
      </c>
    </row>
    <row r="18" spans="1:4" ht="14" customHeight="1">
      <c r="A18" s="3" t="s">
        <v>41</v>
      </c>
      <c r="B18" s="5" t="s">
        <v>43</v>
      </c>
    </row>
    <row r="19" spans="1:4" ht="20" customHeight="1">
      <c r="A19" s="3"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FFD51-ADBD-449D-82B6-FD1C9C527D60}">
  <dimension ref="A1:U134"/>
  <sheetViews>
    <sheetView zoomScaleNormal="100" workbookViewId="0">
      <pane xSplit="3" ySplit="1" topLeftCell="D2" activePane="bottomRight" state="frozen"/>
      <selection pane="topRight" activeCell="D1" sqref="D1"/>
      <selection pane="bottomLeft" activeCell="A2" sqref="A2"/>
      <selection pane="bottomRight" activeCell="O124" sqref="O124"/>
    </sheetView>
  </sheetViews>
  <sheetFormatPr baseColWidth="10" defaultColWidth="8.83203125" defaultRowHeight="15"/>
  <cols>
    <col min="1" max="1" width="14.6640625" style="1" customWidth="1"/>
    <col min="2" max="2" width="13.1640625" style="1" customWidth="1"/>
    <col min="3" max="4" width="15.33203125" style="1" customWidth="1"/>
    <col min="5" max="7" width="11.33203125" style="1" customWidth="1"/>
    <col min="8" max="8" width="12.5" style="1" customWidth="1"/>
    <col min="9" max="9" width="10.83203125" style="1" customWidth="1"/>
    <col min="10" max="10" width="9.83203125" bestFit="1" customWidth="1"/>
    <col min="11" max="11" width="11.33203125" customWidth="1"/>
    <col min="12" max="12" width="18.5" customWidth="1"/>
    <col min="13" max="13" width="11.33203125" customWidth="1"/>
    <col min="14" max="14" width="14.5" style="1" customWidth="1"/>
    <col min="15" max="15" width="33.1640625" style="1" bestFit="1" customWidth="1"/>
    <col min="16" max="16" width="13.6640625" style="1" customWidth="1"/>
    <col min="17" max="17" width="14.6640625" customWidth="1"/>
    <col min="18" max="19" width="13.83203125" customWidth="1"/>
    <col min="20" max="20" width="21.83203125" customWidth="1"/>
    <col min="21" max="21" width="14.6640625" customWidth="1"/>
  </cols>
  <sheetData>
    <row r="1" spans="1:21" s="2" customFormat="1" ht="16" customHeight="1">
      <c r="A1" s="9" t="s">
        <v>0</v>
      </c>
      <c r="B1" s="9" t="s">
        <v>32</v>
      </c>
      <c r="C1" s="9" t="s">
        <v>4</v>
      </c>
      <c r="D1" s="9" t="s">
        <v>50</v>
      </c>
      <c r="E1" s="9" t="s">
        <v>49</v>
      </c>
      <c r="F1" s="9" t="s">
        <v>109</v>
      </c>
      <c r="G1" s="9" t="s">
        <v>150</v>
      </c>
      <c r="H1" s="9" t="s">
        <v>34</v>
      </c>
      <c r="I1" s="10" t="s">
        <v>2</v>
      </c>
      <c r="J1" s="9" t="s">
        <v>33</v>
      </c>
      <c r="K1" s="9" t="s">
        <v>1</v>
      </c>
      <c r="L1" s="9" t="s">
        <v>182</v>
      </c>
      <c r="M1" s="9" t="s">
        <v>183</v>
      </c>
      <c r="N1" s="9" t="s">
        <v>3</v>
      </c>
      <c r="O1" s="11" t="s">
        <v>7</v>
      </c>
      <c r="P1" s="11" t="s">
        <v>52</v>
      </c>
      <c r="Q1" s="11" t="s">
        <v>9</v>
      </c>
      <c r="R1" s="11" t="s">
        <v>8</v>
      </c>
      <c r="S1" s="11" t="s">
        <v>47</v>
      </c>
      <c r="T1" s="11" t="s">
        <v>48</v>
      </c>
      <c r="U1" s="12" t="s">
        <v>36</v>
      </c>
    </row>
    <row r="2" spans="1:21" ht="16" customHeight="1">
      <c r="A2" s="1">
        <v>1</v>
      </c>
      <c r="B2" s="1" t="s">
        <v>64</v>
      </c>
      <c r="C2" s="1" t="s">
        <v>65</v>
      </c>
      <c r="D2" s="26">
        <v>290.6645029642907</v>
      </c>
      <c r="E2" s="26">
        <v>295.60000000000008</v>
      </c>
      <c r="F2" s="26">
        <v>2467.4645029642907</v>
      </c>
      <c r="G2" s="26">
        <v>2472.4</v>
      </c>
      <c r="H2" s="1" t="s">
        <v>164</v>
      </c>
      <c r="N2"/>
      <c r="O2" t="s">
        <v>105</v>
      </c>
      <c r="P2" t="s">
        <v>66</v>
      </c>
      <c r="U2" t="s">
        <v>221</v>
      </c>
    </row>
    <row r="3" spans="1:21" ht="16" customHeight="1">
      <c r="A3" s="1">
        <v>2</v>
      </c>
      <c r="B3" s="1" t="s">
        <v>64</v>
      </c>
      <c r="C3" s="1" t="s">
        <v>65</v>
      </c>
      <c r="D3" s="26">
        <v>269.15372397628573</v>
      </c>
      <c r="E3" s="26"/>
      <c r="F3" s="26">
        <v>2445.9537239762858</v>
      </c>
      <c r="G3" s="26"/>
      <c r="H3" s="1" t="s">
        <v>162</v>
      </c>
      <c r="P3" s="1" t="s">
        <v>67</v>
      </c>
    </row>
    <row r="4" spans="1:21" ht="16" customHeight="1">
      <c r="A4" s="1">
        <v>3</v>
      </c>
      <c r="B4" s="1" t="s">
        <v>64</v>
      </c>
      <c r="C4" s="1" t="s">
        <v>65</v>
      </c>
      <c r="D4" s="26">
        <v>263.95331586929552</v>
      </c>
      <c r="E4" s="26"/>
      <c r="F4" s="26">
        <v>2440.7533158692959</v>
      </c>
      <c r="G4" s="26"/>
      <c r="P4" s="1" t="s">
        <v>75</v>
      </c>
    </row>
    <row r="5" spans="1:21" ht="16" customHeight="1">
      <c r="A5" s="1">
        <v>4</v>
      </c>
      <c r="B5" s="1" t="s">
        <v>64</v>
      </c>
      <c r="C5" s="1" t="s">
        <v>65</v>
      </c>
      <c r="D5" s="26">
        <v>257.79922790569424</v>
      </c>
      <c r="E5" s="26">
        <v>261.43869846959882</v>
      </c>
      <c r="F5" s="26">
        <v>2434.5992279056945</v>
      </c>
      <c r="G5" s="26">
        <v>2438.2386984695991</v>
      </c>
      <c r="P5" s="1" t="s">
        <v>67</v>
      </c>
    </row>
    <row r="6" spans="1:21" ht="16" customHeight="1">
      <c r="A6" s="1">
        <v>5</v>
      </c>
      <c r="B6" s="1" t="s">
        <v>64</v>
      </c>
      <c r="C6" s="1" t="s">
        <v>65</v>
      </c>
      <c r="D6" s="26">
        <v>192.55366882669242</v>
      </c>
      <c r="E6" s="26"/>
      <c r="F6" s="26">
        <v>2369.3536688266927</v>
      </c>
      <c r="G6" s="26"/>
      <c r="L6" t="s">
        <v>184</v>
      </c>
      <c r="P6" s="1" t="s">
        <v>68</v>
      </c>
    </row>
    <row r="7" spans="1:21" ht="16" customHeight="1">
      <c r="A7" s="1">
        <v>6</v>
      </c>
      <c r="B7" s="1" t="s">
        <v>64</v>
      </c>
      <c r="C7" s="1" t="s">
        <v>65</v>
      </c>
      <c r="D7" s="26">
        <v>158.61652281814423</v>
      </c>
      <c r="E7" s="26"/>
      <c r="F7" s="26">
        <v>2335.4165228181446</v>
      </c>
      <c r="G7" s="26"/>
      <c r="P7" s="1" t="s">
        <v>71</v>
      </c>
    </row>
    <row r="8" spans="1:21" ht="16" customHeight="1">
      <c r="A8" s="1">
        <v>7</v>
      </c>
      <c r="B8" s="1" t="s">
        <v>64</v>
      </c>
      <c r="C8" s="1" t="s">
        <v>65</v>
      </c>
      <c r="D8" s="26">
        <v>146.98488901144356</v>
      </c>
      <c r="E8" s="26"/>
      <c r="F8" s="26">
        <v>2323.7848890114437</v>
      </c>
      <c r="G8" s="26"/>
      <c r="L8" s="31" t="s">
        <v>185</v>
      </c>
      <c r="M8" t="s">
        <v>184</v>
      </c>
      <c r="P8" s="1" t="s">
        <v>68</v>
      </c>
    </row>
    <row r="9" spans="1:21" ht="16" customHeight="1">
      <c r="A9" s="1">
        <v>8</v>
      </c>
      <c r="B9" s="1" t="s">
        <v>64</v>
      </c>
      <c r="C9" s="1" t="s">
        <v>65</v>
      </c>
      <c r="D9" s="26">
        <v>102.3331090583207</v>
      </c>
      <c r="E9" s="26">
        <v>141.61738315179926</v>
      </c>
      <c r="F9" s="26">
        <v>2279.1331090583208</v>
      </c>
      <c r="G9" s="26">
        <v>2318.4173831517996</v>
      </c>
      <c r="P9" s="1" t="s">
        <v>76</v>
      </c>
    </row>
    <row r="10" spans="1:21" ht="16" customHeight="1">
      <c r="A10" s="1">
        <v>9</v>
      </c>
      <c r="B10" s="1" t="s">
        <v>64</v>
      </c>
      <c r="C10" s="1" t="s">
        <v>65</v>
      </c>
      <c r="D10" s="26">
        <v>89.507337653384809</v>
      </c>
      <c r="E10" s="26"/>
      <c r="F10" s="26">
        <v>2266.3073376533848</v>
      </c>
      <c r="G10" s="26"/>
      <c r="P10" s="1" t="s">
        <v>66</v>
      </c>
    </row>
    <row r="11" spans="1:21" ht="16" customHeight="1">
      <c r="A11" s="1">
        <v>10</v>
      </c>
      <c r="B11" s="1" t="s">
        <v>64</v>
      </c>
      <c r="C11" s="1" t="s">
        <v>65</v>
      </c>
      <c r="D11" s="26">
        <v>63.721301530401213</v>
      </c>
      <c r="E11" s="26"/>
      <c r="F11" s="26">
        <v>2240.5213015304016</v>
      </c>
      <c r="G11" s="26"/>
      <c r="P11" s="1" t="s">
        <v>76</v>
      </c>
    </row>
    <row r="12" spans="1:21" ht="16" customHeight="1">
      <c r="A12" s="1">
        <v>11</v>
      </c>
      <c r="B12" s="1" t="s">
        <v>64</v>
      </c>
      <c r="C12" s="1" t="s">
        <v>65</v>
      </c>
      <c r="D12" s="26">
        <v>56.067409347856056</v>
      </c>
      <c r="E12" s="26"/>
      <c r="F12" s="26">
        <v>2232.8674093478562</v>
      </c>
      <c r="G12" s="26"/>
      <c r="P12" s="1" t="s">
        <v>71</v>
      </c>
    </row>
    <row r="13" spans="1:21" ht="16" customHeight="1">
      <c r="A13" s="1">
        <v>12</v>
      </c>
      <c r="B13" s="1" t="s">
        <v>64</v>
      </c>
      <c r="C13" s="1" t="s">
        <v>65</v>
      </c>
      <c r="D13" s="26">
        <v>40.906344960705916</v>
      </c>
      <c r="E13" s="26"/>
      <c r="F13" s="26">
        <v>2217.7063449607062</v>
      </c>
      <c r="G13" s="26"/>
      <c r="P13" s="1" t="s">
        <v>68</v>
      </c>
    </row>
    <row r="14" spans="1:21" ht="16" customHeight="1">
      <c r="A14" s="1">
        <v>13</v>
      </c>
      <c r="B14" s="1" t="s">
        <v>64</v>
      </c>
      <c r="C14" s="1" t="s">
        <v>65</v>
      </c>
      <c r="D14" s="26">
        <v>11.146642768509583</v>
      </c>
      <c r="E14" s="26">
        <v>37.470652143940441</v>
      </c>
      <c r="F14" s="26">
        <v>2187.9466427685097</v>
      </c>
      <c r="G14" s="26">
        <v>2214.2706521439404</v>
      </c>
      <c r="L14" t="s">
        <v>185</v>
      </c>
      <c r="P14" s="1" t="s">
        <v>76</v>
      </c>
    </row>
    <row r="15" spans="1:21" ht="16" customHeight="1">
      <c r="A15" s="1">
        <v>14</v>
      </c>
      <c r="B15" s="1" t="s">
        <v>64</v>
      </c>
      <c r="C15" s="1" t="s">
        <v>65</v>
      </c>
      <c r="D15" s="26">
        <v>0</v>
      </c>
      <c r="E15" s="26"/>
      <c r="F15" s="26">
        <v>2176.8000000000002</v>
      </c>
      <c r="G15" s="26"/>
      <c r="H15" s="1" t="s">
        <v>165</v>
      </c>
      <c r="L15" t="s">
        <v>185</v>
      </c>
      <c r="O15" s="1" t="s">
        <v>105</v>
      </c>
      <c r="P15" s="1" t="s">
        <v>77</v>
      </c>
    </row>
    <row r="16" spans="1:21" ht="16" customHeight="1">
      <c r="A16" s="1">
        <v>15</v>
      </c>
      <c r="B16" s="1" t="s">
        <v>64</v>
      </c>
      <c r="C16" s="1" t="s">
        <v>79</v>
      </c>
      <c r="D16" s="26">
        <v>89.285709832283828</v>
      </c>
      <c r="E16">
        <v>92.90000000000002</v>
      </c>
      <c r="F16" s="26">
        <v>2173.1857098322839</v>
      </c>
      <c r="G16" s="26"/>
      <c r="J16" s="1" t="s">
        <v>166</v>
      </c>
      <c r="M16" t="s">
        <v>186</v>
      </c>
      <c r="P16" s="1" t="s">
        <v>71</v>
      </c>
    </row>
    <row r="17" spans="1:19" ht="16" customHeight="1">
      <c r="A17" s="1">
        <v>16</v>
      </c>
      <c r="B17" s="1" t="s">
        <v>64</v>
      </c>
      <c r="C17" s="1" t="s">
        <v>79</v>
      </c>
      <c r="D17" s="26">
        <v>84.246555271525679</v>
      </c>
      <c r="E17" s="26"/>
      <c r="F17" s="26">
        <v>2168.1465552715258</v>
      </c>
      <c r="G17" s="26"/>
      <c r="P17" s="1" t="s">
        <v>68</v>
      </c>
    </row>
    <row r="18" spans="1:19" ht="16" customHeight="1">
      <c r="A18" s="1">
        <v>17</v>
      </c>
      <c r="B18" s="1" t="s">
        <v>64</v>
      </c>
      <c r="C18" s="1" t="s">
        <v>79</v>
      </c>
      <c r="D18" s="26">
        <v>82.957805972940974</v>
      </c>
      <c r="E18" s="26"/>
      <c r="F18" s="26">
        <v>2166.8578059729412</v>
      </c>
      <c r="G18" s="26"/>
      <c r="P18" s="1" t="s">
        <v>73</v>
      </c>
    </row>
    <row r="19" spans="1:19" ht="16" customHeight="1">
      <c r="A19" s="1">
        <v>18</v>
      </c>
      <c r="B19" s="1" t="s">
        <v>64</v>
      </c>
      <c r="C19" s="1" t="s">
        <v>79</v>
      </c>
      <c r="D19" s="26">
        <v>75.845068271089232</v>
      </c>
      <c r="E19" s="26"/>
      <c r="F19" s="26">
        <v>2159.7450682710892</v>
      </c>
      <c r="G19" s="26"/>
      <c r="P19" s="1" t="s">
        <v>68</v>
      </c>
    </row>
    <row r="20" spans="1:19" ht="16" customHeight="1">
      <c r="A20" s="1">
        <v>19</v>
      </c>
      <c r="B20" s="1" t="s">
        <v>64</v>
      </c>
      <c r="C20" s="1" t="s">
        <v>79</v>
      </c>
      <c r="D20" s="26">
        <v>52.974836336429959</v>
      </c>
      <c r="E20" s="26"/>
      <c r="F20" s="26">
        <v>2136.8748363364302</v>
      </c>
      <c r="G20" s="26"/>
      <c r="H20" s="1" t="s">
        <v>167</v>
      </c>
      <c r="L20" s="31" t="s">
        <v>187</v>
      </c>
      <c r="M20" t="s">
        <v>186</v>
      </c>
      <c r="P20" s="1" t="s">
        <v>77</v>
      </c>
    </row>
    <row r="21" spans="1:19" ht="16" customHeight="1">
      <c r="A21" s="1">
        <v>20</v>
      </c>
      <c r="B21" s="1" t="s">
        <v>64</v>
      </c>
      <c r="C21" s="1" t="s">
        <v>79</v>
      </c>
      <c r="D21" s="26">
        <v>32.615493484631216</v>
      </c>
      <c r="E21" s="26">
        <v>49.227327140096023</v>
      </c>
      <c r="F21" s="26">
        <v>2116.5154934846314</v>
      </c>
      <c r="G21" s="26">
        <v>2133.127327140096</v>
      </c>
      <c r="L21" t="s">
        <v>187</v>
      </c>
      <c r="P21" s="1" t="s">
        <v>71</v>
      </c>
    </row>
    <row r="22" spans="1:19" ht="16" customHeight="1">
      <c r="A22" s="1">
        <v>21</v>
      </c>
      <c r="B22" s="1" t="s">
        <v>64</v>
      </c>
      <c r="C22" s="1" t="s">
        <v>79</v>
      </c>
      <c r="D22" s="26">
        <v>16.154255252821251</v>
      </c>
      <c r="E22" s="26"/>
      <c r="F22" s="26">
        <v>2100.0542552528213</v>
      </c>
      <c r="G22" s="26"/>
      <c r="P22" s="1" t="s">
        <v>77</v>
      </c>
    </row>
    <row r="23" spans="1:19" ht="16" customHeight="1">
      <c r="A23" s="1">
        <v>22</v>
      </c>
      <c r="B23" s="1" t="s">
        <v>64</v>
      </c>
      <c r="C23" s="1" t="s">
        <v>79</v>
      </c>
      <c r="D23" s="26">
        <v>11.952063719683274</v>
      </c>
      <c r="E23" s="26"/>
      <c r="F23" s="26">
        <v>2095.8520637196834</v>
      </c>
      <c r="G23" s="26"/>
      <c r="P23" s="1" t="s">
        <v>68</v>
      </c>
    </row>
    <row r="24" spans="1:19" ht="16" customHeight="1">
      <c r="A24" s="1">
        <v>23</v>
      </c>
      <c r="B24" s="1" t="s">
        <v>64</v>
      </c>
      <c r="C24" s="1" t="s">
        <v>79</v>
      </c>
      <c r="D24" s="26">
        <v>9.000972629216287</v>
      </c>
      <c r="E24" s="26"/>
      <c r="F24" s="26">
        <v>2092.9009726292165</v>
      </c>
      <c r="G24" s="26"/>
      <c r="P24" s="1" t="s">
        <v>69</v>
      </c>
    </row>
    <row r="25" spans="1:19" ht="16" customHeight="1">
      <c r="A25" s="1">
        <v>24</v>
      </c>
      <c r="B25" s="1" t="s">
        <v>64</v>
      </c>
      <c r="C25" s="1" t="s">
        <v>79</v>
      </c>
      <c r="D25" s="26">
        <v>4.6916266600162109</v>
      </c>
      <c r="E25" s="26"/>
      <c r="F25" s="26">
        <v>2088.5916266600161</v>
      </c>
      <c r="G25" s="26"/>
      <c r="P25" s="1" t="s">
        <v>68</v>
      </c>
    </row>
    <row r="26" spans="1:19" ht="16" customHeight="1">
      <c r="A26" s="1">
        <v>25</v>
      </c>
      <c r="B26" s="1" t="s">
        <v>64</v>
      </c>
      <c r="C26" s="1" t="s">
        <v>79</v>
      </c>
      <c r="D26" s="26">
        <v>0</v>
      </c>
      <c r="E26" s="26"/>
      <c r="F26" s="26">
        <v>2083.9</v>
      </c>
      <c r="G26" s="26"/>
      <c r="H26" s="1" t="s">
        <v>167</v>
      </c>
      <c r="L26" t="s">
        <v>187</v>
      </c>
      <c r="O26" s="1" t="s">
        <v>105</v>
      </c>
      <c r="P26" s="1" t="s">
        <v>69</v>
      </c>
    </row>
    <row r="27" spans="1:19" ht="16" customHeight="1">
      <c r="A27" s="1">
        <v>26</v>
      </c>
      <c r="B27" s="1" t="s">
        <v>64</v>
      </c>
      <c r="C27" s="1" t="s">
        <v>80</v>
      </c>
      <c r="D27" s="26">
        <v>190.28583426651733</v>
      </c>
      <c r="E27" s="26">
        <v>196.53297679267865</v>
      </c>
      <c r="F27" s="26">
        <v>2077.6528574738386</v>
      </c>
      <c r="G27" s="26"/>
      <c r="J27" t="s">
        <v>167</v>
      </c>
      <c r="M27" t="s">
        <v>187</v>
      </c>
      <c r="P27" s="1" t="s">
        <v>69</v>
      </c>
    </row>
    <row r="28" spans="1:19" ht="16" customHeight="1">
      <c r="A28" s="1">
        <v>27</v>
      </c>
      <c r="B28" s="1" t="s">
        <v>64</v>
      </c>
      <c r="C28" s="1" t="s">
        <v>80</v>
      </c>
      <c r="D28" s="26">
        <v>173.43565857049077</v>
      </c>
      <c r="E28" s="26"/>
      <c r="F28" s="26">
        <v>2060.8026817778123</v>
      </c>
      <c r="G28" s="26"/>
      <c r="H28" s="1" t="s">
        <v>167</v>
      </c>
      <c r="I28" s="1">
        <v>0</v>
      </c>
      <c r="L28" t="s">
        <v>187</v>
      </c>
      <c r="O28" t="s">
        <v>105</v>
      </c>
      <c r="P28" s="1" t="s">
        <v>66</v>
      </c>
      <c r="S28" t="s">
        <v>101</v>
      </c>
    </row>
    <row r="29" spans="1:19" ht="16" customHeight="1">
      <c r="A29" s="1">
        <v>28</v>
      </c>
      <c r="B29" s="1" t="s">
        <v>64</v>
      </c>
      <c r="C29" s="1" t="s">
        <v>80</v>
      </c>
      <c r="D29" s="26">
        <v>163.93315828088197</v>
      </c>
      <c r="E29" s="26"/>
      <c r="F29" s="26">
        <v>2051.3001814882032</v>
      </c>
      <c r="G29" s="26"/>
      <c r="J29" t="s">
        <v>168</v>
      </c>
      <c r="K29">
        <v>1</v>
      </c>
      <c r="M29" t="s">
        <v>188</v>
      </c>
      <c r="P29" s="1" t="s">
        <v>71</v>
      </c>
    </row>
    <row r="30" spans="1:19" ht="16" customHeight="1">
      <c r="A30" s="1">
        <v>29</v>
      </c>
      <c r="B30" s="1" t="s">
        <v>64</v>
      </c>
      <c r="C30" s="1" t="s">
        <v>80</v>
      </c>
      <c r="D30" s="26">
        <v>122.39035409506893</v>
      </c>
      <c r="E30" s="26"/>
      <c r="F30" s="26">
        <v>2009.7573773023903</v>
      </c>
      <c r="G30" s="26"/>
      <c r="P30" s="1" t="s">
        <v>81</v>
      </c>
    </row>
    <row r="31" spans="1:19" ht="16" customHeight="1">
      <c r="A31" s="1">
        <v>30</v>
      </c>
      <c r="B31" s="1" t="s">
        <v>64</v>
      </c>
      <c r="C31" s="1" t="s">
        <v>80</v>
      </c>
      <c r="D31" s="26">
        <v>87.390634050276091</v>
      </c>
      <c r="E31" s="26"/>
      <c r="F31" s="26">
        <v>1974.7576572575974</v>
      </c>
      <c r="G31" s="26"/>
      <c r="P31" s="1" t="s">
        <v>66</v>
      </c>
    </row>
    <row r="32" spans="1:19" ht="16" customHeight="1">
      <c r="A32" s="1">
        <v>31</v>
      </c>
      <c r="B32" s="1" t="s">
        <v>64</v>
      </c>
      <c r="C32" s="1" t="s">
        <v>80</v>
      </c>
      <c r="D32" s="26">
        <v>83.626626636289913</v>
      </c>
      <c r="E32" s="26"/>
      <c r="F32" s="26">
        <v>1970.9936498436114</v>
      </c>
      <c r="G32" s="26"/>
      <c r="P32" s="1" t="s">
        <v>71</v>
      </c>
    </row>
    <row r="33" spans="1:19" ht="16" customHeight="1">
      <c r="A33" s="1">
        <v>32</v>
      </c>
      <c r="B33" s="1" t="s">
        <v>64</v>
      </c>
      <c r="C33" s="1" t="s">
        <v>80</v>
      </c>
      <c r="D33" s="26">
        <v>72.533440166814685</v>
      </c>
      <c r="E33" s="26"/>
      <c r="F33" s="26">
        <v>1959.9004633741361</v>
      </c>
      <c r="G33" s="26"/>
      <c r="M33" t="s">
        <v>189</v>
      </c>
      <c r="P33" s="1" t="s">
        <v>66</v>
      </c>
    </row>
    <row r="34" spans="1:19" ht="16" customHeight="1">
      <c r="A34" s="1">
        <v>33</v>
      </c>
      <c r="B34" s="1" t="s">
        <v>64</v>
      </c>
      <c r="C34" s="1" t="s">
        <v>80</v>
      </c>
      <c r="D34" s="26">
        <v>63.16503842143878</v>
      </c>
      <c r="E34" s="26"/>
      <c r="F34" s="26">
        <v>1950.5320616287602</v>
      </c>
      <c r="G34" s="26"/>
      <c r="P34" s="1" t="s">
        <v>69</v>
      </c>
    </row>
    <row r="35" spans="1:19" ht="16" customHeight="1">
      <c r="A35" s="1">
        <v>34</v>
      </c>
      <c r="B35" s="1" t="s">
        <v>64</v>
      </c>
      <c r="C35" s="1" t="s">
        <v>80</v>
      </c>
      <c r="D35" s="26">
        <v>61.58360041703672</v>
      </c>
      <c r="E35" s="26"/>
      <c r="F35" s="26">
        <v>1948.9506236243581</v>
      </c>
      <c r="G35" s="26"/>
      <c r="P35" s="1" t="s">
        <v>73</v>
      </c>
    </row>
    <row r="36" spans="1:19" ht="16" customHeight="1">
      <c r="A36" s="1">
        <v>35</v>
      </c>
      <c r="B36" s="1" t="s">
        <v>64</v>
      </c>
      <c r="C36" s="1" t="s">
        <v>80</v>
      </c>
      <c r="D36" s="26">
        <v>28.572238097076877</v>
      </c>
      <c r="E36" s="26"/>
      <c r="F36" s="26">
        <v>1915.9392613043983</v>
      </c>
      <c r="G36" s="26"/>
      <c r="P36" s="1" t="s">
        <v>69</v>
      </c>
    </row>
    <row r="37" spans="1:19" ht="16" customHeight="1">
      <c r="A37" s="1">
        <v>36</v>
      </c>
      <c r="B37" s="1" t="s">
        <v>64</v>
      </c>
      <c r="C37" s="1" t="s">
        <v>80</v>
      </c>
      <c r="D37" s="26">
        <v>16.928785187473451</v>
      </c>
      <c r="E37" s="26"/>
      <c r="F37" s="26">
        <v>1904.2958083947949</v>
      </c>
      <c r="G37" s="26"/>
      <c r="P37" s="1" t="s">
        <v>77</v>
      </c>
    </row>
    <row r="38" spans="1:19" ht="16" customHeight="1">
      <c r="A38" s="1">
        <v>37</v>
      </c>
      <c r="B38" s="1" t="s">
        <v>64</v>
      </c>
      <c r="C38" s="1" t="s">
        <v>80</v>
      </c>
      <c r="D38" s="26">
        <v>6.7003031239139688</v>
      </c>
      <c r="E38" s="26"/>
      <c r="F38" s="26">
        <v>1894.0673263312353</v>
      </c>
      <c r="G38" s="26"/>
      <c r="L38" t="s">
        <v>190</v>
      </c>
      <c r="P38" s="1" t="s">
        <v>70</v>
      </c>
    </row>
    <row r="39" spans="1:19" ht="16" customHeight="1">
      <c r="A39" s="1">
        <v>38</v>
      </c>
      <c r="B39" s="1" t="s">
        <v>64</v>
      </c>
      <c r="C39" s="1" t="s">
        <v>80</v>
      </c>
      <c r="D39" s="26">
        <v>0</v>
      </c>
      <c r="E39" s="26"/>
      <c r="F39" s="26">
        <v>1887.3670232073214</v>
      </c>
      <c r="G39" s="26"/>
      <c r="H39" s="1" t="s">
        <v>169</v>
      </c>
      <c r="L39" t="s">
        <v>190</v>
      </c>
      <c r="O39" s="1" t="s">
        <v>106</v>
      </c>
      <c r="P39" s="1" t="s">
        <v>82</v>
      </c>
    </row>
    <row r="40" spans="1:19" ht="16" customHeight="1">
      <c r="B40" s="1" t="s">
        <v>64</v>
      </c>
      <c r="C40" s="1" t="s">
        <v>84</v>
      </c>
      <c r="D40" s="26">
        <v>35.189307641811787</v>
      </c>
      <c r="E40" s="26">
        <v>43</v>
      </c>
      <c r="F40" s="26"/>
      <c r="G40" s="26"/>
      <c r="H40" s="1" t="s">
        <v>169</v>
      </c>
    </row>
    <row r="41" spans="1:19" ht="16" customHeight="1">
      <c r="A41" s="1">
        <v>39</v>
      </c>
      <c r="B41" s="1" t="s">
        <v>64</v>
      </c>
      <c r="C41" s="1" t="s">
        <v>84</v>
      </c>
      <c r="D41" s="26">
        <v>23.434876626636285</v>
      </c>
      <c r="E41" s="26">
        <v>35.189307641811787</v>
      </c>
      <c r="F41" s="26">
        <v>1867.8348766266363</v>
      </c>
      <c r="G41" s="26">
        <v>1879.589307641812</v>
      </c>
      <c r="L41" t="s">
        <v>191</v>
      </c>
      <c r="P41" s="1" t="s">
        <v>66</v>
      </c>
    </row>
    <row r="42" spans="1:19" ht="16" customHeight="1">
      <c r="A42" s="1">
        <v>40</v>
      </c>
      <c r="B42" s="1" t="s">
        <v>64</v>
      </c>
      <c r="C42" s="1" t="s">
        <v>84</v>
      </c>
      <c r="D42" s="26">
        <v>18.931015175502949</v>
      </c>
      <c r="E42" s="26"/>
      <c r="F42" s="26">
        <v>1863.3310151755031</v>
      </c>
      <c r="G42" s="26"/>
      <c r="H42" s="1" t="s">
        <v>169</v>
      </c>
      <c r="P42" s="1" t="s">
        <v>72</v>
      </c>
    </row>
    <row r="43" spans="1:19" ht="16" customHeight="1">
      <c r="A43" s="1">
        <v>41</v>
      </c>
      <c r="B43" s="1" t="s">
        <v>64</v>
      </c>
      <c r="C43" s="1" t="s">
        <v>84</v>
      </c>
      <c r="D43" s="26">
        <v>14.718471251496309</v>
      </c>
      <c r="E43" s="26"/>
      <c r="F43" s="26">
        <v>1859.1184712514964</v>
      </c>
      <c r="G43" s="26"/>
      <c r="J43" t="s">
        <v>169</v>
      </c>
      <c r="P43" s="1" t="s">
        <v>83</v>
      </c>
    </row>
    <row r="44" spans="1:19" ht="16" customHeight="1">
      <c r="A44" s="1">
        <v>42</v>
      </c>
      <c r="B44" s="1" t="s">
        <v>64</v>
      </c>
      <c r="C44" s="1" t="s">
        <v>84</v>
      </c>
      <c r="D44" s="26">
        <v>0</v>
      </c>
      <c r="E44" s="26"/>
      <c r="F44" s="26">
        <v>1844.4</v>
      </c>
      <c r="G44" s="26"/>
      <c r="H44" s="1" t="s">
        <v>170</v>
      </c>
      <c r="L44" t="s">
        <v>192</v>
      </c>
      <c r="O44" s="1" t="s">
        <v>106</v>
      </c>
      <c r="P44" s="1" t="s">
        <v>82</v>
      </c>
      <c r="S44" t="s">
        <v>102</v>
      </c>
    </row>
    <row r="45" spans="1:19" ht="16" customHeight="1">
      <c r="A45" s="1">
        <v>43</v>
      </c>
      <c r="B45" s="1" t="s">
        <v>64</v>
      </c>
      <c r="C45" s="1" t="s">
        <v>85</v>
      </c>
      <c r="D45" s="26">
        <v>275.08667438842298</v>
      </c>
      <c r="E45" s="26">
        <v>288.70000000000005</v>
      </c>
      <c r="F45" s="26">
        <v>1830.7866743884231</v>
      </c>
      <c r="G45" s="26"/>
      <c r="H45" s="1" t="s">
        <v>171</v>
      </c>
      <c r="I45" s="1">
        <v>0.99</v>
      </c>
      <c r="J45" t="s">
        <v>170</v>
      </c>
      <c r="L45" t="s">
        <v>194</v>
      </c>
      <c r="P45" s="1" t="s">
        <v>86</v>
      </c>
    </row>
    <row r="46" spans="1:19" ht="16" customHeight="1">
      <c r="A46" s="1">
        <v>44</v>
      </c>
      <c r="B46" s="1" t="s">
        <v>64</v>
      </c>
      <c r="C46" s="1" t="s">
        <v>85</v>
      </c>
      <c r="D46" s="26">
        <v>266.29985486819521</v>
      </c>
      <c r="E46" s="26">
        <v>272.87083269373005</v>
      </c>
      <c r="F46" s="26">
        <v>1821.9998548681951</v>
      </c>
      <c r="G46" s="26">
        <v>1828.5708326937302</v>
      </c>
      <c r="L46" t="s">
        <v>193</v>
      </c>
      <c r="M46" s="31" t="s">
        <v>193</v>
      </c>
      <c r="P46" s="1" t="s">
        <v>87</v>
      </c>
    </row>
    <row r="47" spans="1:19" ht="16" customHeight="1">
      <c r="A47" s="1">
        <v>45</v>
      </c>
      <c r="B47" s="1" t="s">
        <v>64</v>
      </c>
      <c r="C47" s="1" t="s">
        <v>85</v>
      </c>
      <c r="D47" s="26">
        <v>245.81339119998884</v>
      </c>
      <c r="E47" s="26"/>
      <c r="F47" s="26">
        <v>1801.513391199989</v>
      </c>
      <c r="G47" s="26"/>
      <c r="P47" s="1" t="s">
        <v>68</v>
      </c>
    </row>
    <row r="48" spans="1:19" ht="16" customHeight="1">
      <c r="A48" s="1">
        <v>46</v>
      </c>
      <c r="B48" s="1" t="s">
        <v>64</v>
      </c>
      <c r="C48" s="1" t="s">
        <v>85</v>
      </c>
      <c r="D48" s="26">
        <v>242.83207691985655</v>
      </c>
      <c r="E48" s="26"/>
      <c r="F48" s="26">
        <v>1798.5320769198565</v>
      </c>
      <c r="G48" s="26"/>
      <c r="P48" s="1" t="s">
        <v>87</v>
      </c>
    </row>
    <row r="49" spans="1:16" ht="16" customHeight="1">
      <c r="A49" s="1">
        <v>47</v>
      </c>
      <c r="B49" s="1" t="s">
        <v>64</v>
      </c>
      <c r="C49" s="1" t="s">
        <v>85</v>
      </c>
      <c r="D49" s="26">
        <v>235.57217376742628</v>
      </c>
      <c r="E49" s="26"/>
      <c r="F49" s="26">
        <v>1791.2721737674262</v>
      </c>
      <c r="G49" s="26"/>
      <c r="P49" s="1" t="s">
        <v>68</v>
      </c>
    </row>
    <row r="50" spans="1:16" ht="16" customHeight="1">
      <c r="A50" s="1">
        <v>48</v>
      </c>
      <c r="B50" s="1" t="s">
        <v>64</v>
      </c>
      <c r="C50" s="1" t="s">
        <v>85</v>
      </c>
      <c r="D50" s="26">
        <v>230.98336705787131</v>
      </c>
      <c r="E50" s="26"/>
      <c r="F50" s="26">
        <v>1786.6833670578712</v>
      </c>
      <c r="G50" s="26"/>
      <c r="L50" s="31" t="s">
        <v>195</v>
      </c>
      <c r="M50" t="s">
        <v>193</v>
      </c>
      <c r="P50" s="1" t="s">
        <v>87</v>
      </c>
    </row>
    <row r="51" spans="1:16" ht="16" customHeight="1">
      <c r="A51" s="1">
        <v>49</v>
      </c>
      <c r="B51" s="1" t="s">
        <v>64</v>
      </c>
      <c r="C51" s="1" t="s">
        <v>85</v>
      </c>
      <c r="D51" s="26">
        <v>220.43596059113301</v>
      </c>
      <c r="E51" s="26"/>
      <c r="F51" s="26">
        <v>1776.135960591133</v>
      </c>
      <c r="G51" s="26"/>
      <c r="L51" t="s">
        <v>195</v>
      </c>
      <c r="P51" s="1" t="s">
        <v>68</v>
      </c>
    </row>
    <row r="52" spans="1:16" ht="16" customHeight="1">
      <c r="A52" s="1">
        <v>50</v>
      </c>
      <c r="B52" s="1" t="s">
        <v>64</v>
      </c>
      <c r="C52" s="1" t="s">
        <v>85</v>
      </c>
      <c r="D52" s="26">
        <v>219.41667341157427</v>
      </c>
      <c r="E52" s="26"/>
      <c r="F52" s="26">
        <v>1775.1166734115743</v>
      </c>
      <c r="G52" s="26"/>
      <c r="P52" s="1" t="s">
        <v>73</v>
      </c>
    </row>
    <row r="53" spans="1:16" ht="16" customHeight="1">
      <c r="A53" s="1">
        <v>51</v>
      </c>
      <c r="B53" s="1" t="s">
        <v>64</v>
      </c>
      <c r="C53" s="1" t="s">
        <v>85</v>
      </c>
      <c r="D53" s="26">
        <v>194.28097098759403</v>
      </c>
      <c r="E53" s="26"/>
      <c r="F53" s="26">
        <v>1749.980970987594</v>
      </c>
      <c r="G53" s="26"/>
      <c r="L53" s="31" t="s">
        <v>196</v>
      </c>
      <c r="M53" t="s">
        <v>195</v>
      </c>
      <c r="P53" s="1" t="s">
        <v>68</v>
      </c>
    </row>
    <row r="54" spans="1:16" ht="16" customHeight="1">
      <c r="A54" s="1">
        <v>52</v>
      </c>
      <c r="B54" s="1" t="s">
        <v>64</v>
      </c>
      <c r="C54" s="1" t="s">
        <v>85</v>
      </c>
      <c r="D54" s="26">
        <v>190.75576829149165</v>
      </c>
      <c r="E54" s="26"/>
      <c r="F54" s="26">
        <v>1746.4557682914917</v>
      </c>
      <c r="G54" s="26"/>
      <c r="P54" s="1" t="s">
        <v>87</v>
      </c>
    </row>
    <row r="55" spans="1:16" ht="16" customHeight="1">
      <c r="A55" s="1">
        <v>53</v>
      </c>
      <c r="B55" s="1" t="s">
        <v>64</v>
      </c>
      <c r="C55" s="1" t="s">
        <v>85</v>
      </c>
      <c r="D55" s="26">
        <v>179.03195132502546</v>
      </c>
      <c r="E55" s="26"/>
      <c r="F55" s="26">
        <v>1734.7319513250254</v>
      </c>
      <c r="G55" s="26"/>
      <c r="L55" s="31" t="s">
        <v>198</v>
      </c>
      <c r="M55" s="31" t="s">
        <v>197</v>
      </c>
      <c r="P55" s="1" t="s">
        <v>68</v>
      </c>
    </row>
    <row r="56" spans="1:16" ht="16" customHeight="1">
      <c r="A56" s="1">
        <v>54</v>
      </c>
      <c r="B56" s="1" t="s">
        <v>64</v>
      </c>
      <c r="C56" s="1" t="s">
        <v>85</v>
      </c>
      <c r="D56" s="26">
        <v>178.01266414546672</v>
      </c>
      <c r="E56" s="26"/>
      <c r="F56" s="26">
        <v>1733.7126641454668</v>
      </c>
      <c r="G56" s="26"/>
      <c r="P56" s="1" t="s">
        <v>73</v>
      </c>
    </row>
    <row r="57" spans="1:16" ht="16" customHeight="1">
      <c r="A57" s="1">
        <v>55</v>
      </c>
      <c r="B57" s="1" t="s">
        <v>64</v>
      </c>
      <c r="C57" s="1" t="s">
        <v>85</v>
      </c>
      <c r="D57" s="26">
        <v>172.90011303534797</v>
      </c>
      <c r="E57" s="26"/>
      <c r="F57" s="26">
        <v>1728.6001130353479</v>
      </c>
      <c r="G57" s="26"/>
      <c r="M57" t="s">
        <v>198</v>
      </c>
      <c r="P57" s="1" t="s">
        <v>68</v>
      </c>
    </row>
    <row r="58" spans="1:16" ht="16" customHeight="1">
      <c r="A58" s="1">
        <v>56</v>
      </c>
      <c r="B58" s="1" t="s">
        <v>64</v>
      </c>
      <c r="C58" s="1" t="s">
        <v>85</v>
      </c>
      <c r="D58" s="26">
        <v>171.88485465887049</v>
      </c>
      <c r="E58" s="26"/>
      <c r="F58" s="26">
        <v>1727.5848546588704</v>
      </c>
      <c r="G58" s="26"/>
      <c r="P58" s="1" t="s">
        <v>73</v>
      </c>
    </row>
    <row r="59" spans="1:16" ht="16" customHeight="1">
      <c r="A59" s="1">
        <v>57</v>
      </c>
      <c r="B59" s="1" t="s">
        <v>64</v>
      </c>
      <c r="C59" s="1" t="s">
        <v>85</v>
      </c>
      <c r="D59" s="26">
        <v>161.44219707224494</v>
      </c>
      <c r="E59" s="26"/>
      <c r="F59" s="26">
        <v>1717.1421970722449</v>
      </c>
      <c r="G59" s="26"/>
      <c r="H59" s="1" t="s">
        <v>172</v>
      </c>
      <c r="J59" t="s">
        <v>171</v>
      </c>
      <c r="L59" t="s">
        <v>199</v>
      </c>
      <c r="M59" t="s">
        <v>198</v>
      </c>
      <c r="P59" s="1" t="s">
        <v>68</v>
      </c>
    </row>
    <row r="60" spans="1:16" ht="16" customHeight="1">
      <c r="A60" s="1">
        <v>58</v>
      </c>
      <c r="B60" s="1" t="s">
        <v>64</v>
      </c>
      <c r="C60" s="1" t="s">
        <v>85</v>
      </c>
      <c r="D60" s="26">
        <v>160.42290989268619</v>
      </c>
      <c r="E60" s="26"/>
      <c r="F60" s="26">
        <v>1716.1229098926863</v>
      </c>
      <c r="G60" s="26"/>
      <c r="P60" s="1" t="s">
        <v>73</v>
      </c>
    </row>
    <row r="61" spans="1:16" ht="16" customHeight="1">
      <c r="A61" s="1">
        <v>59</v>
      </c>
      <c r="B61" s="1" t="s">
        <v>64</v>
      </c>
      <c r="C61" s="1" t="s">
        <v>85</v>
      </c>
      <c r="D61" s="26">
        <v>113.82174465175345</v>
      </c>
      <c r="E61" s="26"/>
      <c r="F61" s="26">
        <v>1669.5217446517536</v>
      </c>
      <c r="G61" s="26"/>
      <c r="H61" s="1" t="s">
        <v>173</v>
      </c>
      <c r="J61" t="s">
        <v>172</v>
      </c>
      <c r="L61" t="s">
        <v>200</v>
      </c>
      <c r="M61" t="s">
        <v>199</v>
      </c>
      <c r="P61" s="1" t="s">
        <v>68</v>
      </c>
    </row>
    <row r="62" spans="1:16" ht="16" customHeight="1">
      <c r="A62" s="1">
        <v>60</v>
      </c>
      <c r="B62" s="1" t="s">
        <v>64</v>
      </c>
      <c r="C62" s="1" t="s">
        <v>85</v>
      </c>
      <c r="D62" s="26">
        <v>112.8024574721947</v>
      </c>
      <c r="E62" s="26"/>
      <c r="F62" s="26">
        <v>1668.5024574721947</v>
      </c>
      <c r="G62" s="26"/>
      <c r="P62" s="1" t="s">
        <v>73</v>
      </c>
    </row>
    <row r="63" spans="1:16" ht="16" customHeight="1">
      <c r="A63" s="1">
        <v>61</v>
      </c>
      <c r="B63" s="1" t="s">
        <v>64</v>
      </c>
      <c r="C63" s="1" t="s">
        <v>85</v>
      </c>
      <c r="D63" s="26">
        <v>104.14858845364853</v>
      </c>
      <c r="E63" s="26"/>
      <c r="F63" s="26">
        <v>1659.8485884536485</v>
      </c>
      <c r="G63" s="26"/>
      <c r="L63" t="s">
        <v>201</v>
      </c>
      <c r="M63" t="s">
        <v>200</v>
      </c>
      <c r="P63" s="1" t="s">
        <v>68</v>
      </c>
    </row>
    <row r="64" spans="1:16" ht="16" customHeight="1">
      <c r="A64" s="1">
        <v>62</v>
      </c>
      <c r="B64" s="1" t="s">
        <v>64</v>
      </c>
      <c r="C64" s="1" t="s">
        <v>85</v>
      </c>
      <c r="D64" s="26">
        <v>103.12930127408978</v>
      </c>
      <c r="E64" s="26"/>
      <c r="F64" s="26">
        <v>1658.8293012740899</v>
      </c>
      <c r="G64" s="26"/>
      <c r="H64" s="1" t="s">
        <v>174</v>
      </c>
      <c r="J64" t="s">
        <v>173</v>
      </c>
      <c r="P64" s="1" t="s">
        <v>73</v>
      </c>
    </row>
    <row r="65" spans="1:16" ht="16" customHeight="1">
      <c r="A65" s="1">
        <v>63</v>
      </c>
      <c r="B65" s="1" t="s">
        <v>64</v>
      </c>
      <c r="C65" s="1" t="s">
        <v>85</v>
      </c>
      <c r="D65" s="26">
        <v>99.301938346892925</v>
      </c>
      <c r="E65" s="26"/>
      <c r="F65" s="26">
        <v>1655.001938346893</v>
      </c>
      <c r="G65" s="26"/>
      <c r="P65" s="1" t="s">
        <v>68</v>
      </c>
    </row>
    <row r="66" spans="1:16" ht="16" customHeight="1">
      <c r="A66" s="1">
        <v>64</v>
      </c>
      <c r="B66" s="1" t="s">
        <v>64</v>
      </c>
      <c r="C66" s="1" t="s">
        <v>85</v>
      </c>
      <c r="D66" s="26">
        <v>95.261048856389294</v>
      </c>
      <c r="E66" s="26"/>
      <c r="F66" s="26">
        <v>1650.9610488563894</v>
      </c>
      <c r="G66" s="26"/>
      <c r="L66" t="s">
        <v>202</v>
      </c>
      <c r="M66" t="s">
        <v>201</v>
      </c>
      <c r="P66" s="1" t="s">
        <v>87</v>
      </c>
    </row>
    <row r="67" spans="1:16" ht="16" customHeight="1">
      <c r="A67" s="1">
        <v>65</v>
      </c>
      <c r="B67" s="1" t="s">
        <v>64</v>
      </c>
      <c r="C67" s="1" t="s">
        <v>85</v>
      </c>
      <c r="D67" s="26">
        <v>81.555060773943268</v>
      </c>
      <c r="E67" s="26"/>
      <c r="F67" s="26">
        <v>1637.2550607739433</v>
      </c>
      <c r="G67" s="26"/>
      <c r="L67" t="s">
        <v>204</v>
      </c>
      <c r="M67" t="s">
        <v>202</v>
      </c>
      <c r="P67" s="1" t="s">
        <v>68</v>
      </c>
    </row>
    <row r="68" spans="1:16" ht="16" customHeight="1">
      <c r="A68" s="1">
        <v>66</v>
      </c>
      <c r="B68" s="1" t="s">
        <v>64</v>
      </c>
      <c r="C68" s="1" t="s">
        <v>85</v>
      </c>
      <c r="D68" s="26">
        <v>71.366217781437086</v>
      </c>
      <c r="E68" s="26"/>
      <c r="F68" s="26">
        <v>1627.0662177814372</v>
      </c>
      <c r="G68" s="26"/>
      <c r="H68" s="1" t="s">
        <v>175</v>
      </c>
      <c r="J68" t="s">
        <v>174</v>
      </c>
      <c r="L68" t="s">
        <v>203</v>
      </c>
      <c r="M68" t="s">
        <v>204</v>
      </c>
      <c r="P68" s="1" t="s">
        <v>66</v>
      </c>
    </row>
    <row r="69" spans="1:16" ht="16" customHeight="1">
      <c r="A69" s="1">
        <v>67</v>
      </c>
      <c r="B69" s="1" t="s">
        <v>64</v>
      </c>
      <c r="C69" s="1" t="s">
        <v>85</v>
      </c>
      <c r="D69" s="26">
        <v>70.250239327928099</v>
      </c>
      <c r="E69" s="26"/>
      <c r="F69" s="26">
        <v>1625.9502393279281</v>
      </c>
      <c r="G69" s="26"/>
      <c r="L69" t="s">
        <v>203</v>
      </c>
      <c r="P69" s="1" t="s">
        <v>73</v>
      </c>
    </row>
    <row r="70" spans="1:16" ht="16" customHeight="1">
      <c r="A70" s="1">
        <v>68</v>
      </c>
      <c r="B70" s="1" t="s">
        <v>64</v>
      </c>
      <c r="C70" s="1" t="s">
        <v>85</v>
      </c>
      <c r="D70" s="26">
        <v>57.805266609916409</v>
      </c>
      <c r="E70" s="26">
        <v>68.715265353968093</v>
      </c>
      <c r="F70" s="26">
        <v>1613.5052666099164</v>
      </c>
      <c r="G70" s="26">
        <v>1624.4152653539682</v>
      </c>
      <c r="H70" s="1" t="s">
        <v>176</v>
      </c>
      <c r="J70" t="s">
        <v>175</v>
      </c>
      <c r="L70" s="31" t="s">
        <v>206</v>
      </c>
      <c r="M70" s="31" t="s">
        <v>205</v>
      </c>
      <c r="P70" s="1" t="s">
        <v>88</v>
      </c>
    </row>
    <row r="71" spans="1:16" ht="16" customHeight="1">
      <c r="A71" s="1">
        <v>69</v>
      </c>
      <c r="B71" s="1" t="s">
        <v>64</v>
      </c>
      <c r="C71" s="1" t="s">
        <v>85</v>
      </c>
      <c r="D71" s="26">
        <v>45.364322694985972</v>
      </c>
      <c r="E71" s="26"/>
      <c r="F71" s="26">
        <v>1601.064322694986</v>
      </c>
      <c r="G71" s="26"/>
      <c r="L71" t="s">
        <v>208</v>
      </c>
      <c r="M71" s="31" t="s">
        <v>207</v>
      </c>
      <c r="P71" s="1" t="s">
        <v>68</v>
      </c>
    </row>
    <row r="72" spans="1:16" ht="16" customHeight="1">
      <c r="A72" s="1">
        <v>70</v>
      </c>
      <c r="B72" s="1" t="s">
        <v>64</v>
      </c>
      <c r="C72" s="1" t="s">
        <v>85</v>
      </c>
      <c r="D72" s="26">
        <v>25.756138098494258</v>
      </c>
      <c r="E72" s="26"/>
      <c r="F72" s="26">
        <v>1581.4561380984942</v>
      </c>
      <c r="G72" s="26"/>
      <c r="L72" t="s">
        <v>208</v>
      </c>
      <c r="P72" s="1" t="s">
        <v>89</v>
      </c>
    </row>
    <row r="73" spans="1:16" ht="16" customHeight="1">
      <c r="A73" s="1">
        <v>71</v>
      </c>
      <c r="B73" s="1" t="s">
        <v>64</v>
      </c>
      <c r="C73" s="1" t="s">
        <v>85</v>
      </c>
      <c r="D73" s="26">
        <v>23.181732929569211</v>
      </c>
      <c r="E73" s="26"/>
      <c r="F73" s="26">
        <v>1578.8817329295694</v>
      </c>
      <c r="G73" s="26"/>
      <c r="L73" s="31" t="s">
        <v>209</v>
      </c>
      <c r="P73" s="1" t="s">
        <v>73</v>
      </c>
    </row>
    <row r="74" spans="1:16" ht="16" customHeight="1">
      <c r="A74" s="1">
        <v>72</v>
      </c>
      <c r="B74" s="1" t="s">
        <v>64</v>
      </c>
      <c r="C74" s="1" t="s">
        <v>85</v>
      </c>
      <c r="D74" s="26">
        <v>7.7473883252627029</v>
      </c>
      <c r="E74" s="26"/>
      <c r="F74" s="26">
        <v>1563.4473883252626</v>
      </c>
      <c r="G74" s="26"/>
      <c r="L74" s="31" t="s">
        <v>210</v>
      </c>
      <c r="M74" s="31"/>
      <c r="P74" s="1" t="s">
        <v>66</v>
      </c>
    </row>
    <row r="75" spans="1:16" ht="16" customHeight="1">
      <c r="A75" s="1">
        <v>73</v>
      </c>
      <c r="B75" s="1" t="s">
        <v>64</v>
      </c>
      <c r="C75" s="1" t="s">
        <v>85</v>
      </c>
      <c r="D75" s="26">
        <v>0</v>
      </c>
      <c r="E75" s="26"/>
      <c r="F75" s="26">
        <v>1555.7</v>
      </c>
      <c r="G75" s="26"/>
      <c r="H75" s="1" t="s">
        <v>176</v>
      </c>
      <c r="L75" t="s">
        <v>211</v>
      </c>
      <c r="O75" s="1" t="s">
        <v>107</v>
      </c>
      <c r="P75" s="1" t="s">
        <v>88</v>
      </c>
    </row>
    <row r="76" spans="1:16" ht="16" customHeight="1">
      <c r="A76" s="1">
        <v>74</v>
      </c>
      <c r="B76" s="1" t="s">
        <v>64</v>
      </c>
      <c r="C76" s="1" t="s">
        <v>90</v>
      </c>
      <c r="D76" s="26">
        <v>19.390979110748045</v>
      </c>
      <c r="E76" s="29">
        <v>26.9</v>
      </c>
      <c r="F76" s="26">
        <v>1548.190979110748</v>
      </c>
      <c r="G76" s="26"/>
      <c r="J76" s="1" t="s">
        <v>176</v>
      </c>
      <c r="M76" t="s">
        <v>212</v>
      </c>
      <c r="P76" s="1" t="s">
        <v>74</v>
      </c>
    </row>
    <row r="77" spans="1:16" ht="16" customHeight="1">
      <c r="A77" s="1">
        <v>75</v>
      </c>
      <c r="B77" s="1" t="s">
        <v>64</v>
      </c>
      <c r="C77" s="1" t="s">
        <v>90</v>
      </c>
      <c r="D77" s="26">
        <v>18.763134554790525</v>
      </c>
      <c r="E77" s="26"/>
      <c r="F77" s="26">
        <v>1547.5631345547904</v>
      </c>
      <c r="G77" s="26"/>
      <c r="P77" s="1" t="s">
        <v>66</v>
      </c>
    </row>
    <row r="78" spans="1:16" ht="16" customHeight="1">
      <c r="A78" s="1">
        <v>76</v>
      </c>
      <c r="B78" s="1" t="s">
        <v>64</v>
      </c>
      <c r="C78" s="1" t="s">
        <v>90</v>
      </c>
      <c r="D78" s="26">
        <v>15.972365503559343</v>
      </c>
      <c r="E78" s="26"/>
      <c r="F78" s="26">
        <v>1544.7723655035593</v>
      </c>
      <c r="G78" s="26"/>
      <c r="P78" s="1" t="s">
        <v>73</v>
      </c>
    </row>
    <row r="79" spans="1:16" ht="16" customHeight="1">
      <c r="A79" s="1">
        <v>77</v>
      </c>
      <c r="B79" s="1" t="s">
        <v>64</v>
      </c>
      <c r="C79" s="1" t="s">
        <v>90</v>
      </c>
      <c r="D79" s="26">
        <v>12.192741276695065</v>
      </c>
      <c r="E79" s="26"/>
      <c r="F79" s="26">
        <v>1540.9927412766949</v>
      </c>
      <c r="G79" s="26"/>
      <c r="M79" t="s">
        <v>212</v>
      </c>
      <c r="P79" s="1" t="s">
        <v>66</v>
      </c>
    </row>
    <row r="80" spans="1:16" ht="16" customHeight="1">
      <c r="A80" s="1">
        <v>78</v>
      </c>
      <c r="B80" s="1" t="s">
        <v>64</v>
      </c>
      <c r="C80" s="1" t="s">
        <v>90</v>
      </c>
      <c r="D80" s="26">
        <v>0</v>
      </c>
      <c r="E80" s="26"/>
      <c r="F80" s="26">
        <v>1528.8</v>
      </c>
      <c r="G80" s="26"/>
      <c r="H80" s="1" t="s">
        <v>176</v>
      </c>
      <c r="L80" s="31" t="s">
        <v>213</v>
      </c>
      <c r="O80" s="1" t="s">
        <v>230</v>
      </c>
      <c r="P80" s="1" t="s">
        <v>91</v>
      </c>
    </row>
    <row r="81" spans="1:16" ht="16" customHeight="1">
      <c r="A81" s="1">
        <v>79</v>
      </c>
      <c r="B81" s="1" t="s">
        <v>64</v>
      </c>
      <c r="C81" s="1" t="s">
        <v>78</v>
      </c>
      <c r="D81" s="26">
        <v>9.1251166407464996</v>
      </c>
      <c r="E81" s="29">
        <v>23.9</v>
      </c>
      <c r="F81" s="26">
        <v>1514.0251166407463</v>
      </c>
      <c r="G81" s="26"/>
      <c r="J81" t="s">
        <v>176</v>
      </c>
      <c r="M81" t="s">
        <v>214</v>
      </c>
      <c r="P81" s="1" t="s">
        <v>68</v>
      </c>
    </row>
    <row r="82" spans="1:16" ht="16" customHeight="1">
      <c r="A82" s="1">
        <v>80</v>
      </c>
      <c r="B82" s="1" t="s">
        <v>64</v>
      </c>
      <c r="C82" s="1" t="s">
        <v>78</v>
      </c>
      <c r="D82" s="26">
        <v>7.9263996889580088</v>
      </c>
      <c r="E82" s="26"/>
      <c r="F82" s="26">
        <v>1512.826399688958</v>
      </c>
      <c r="G82" s="26"/>
      <c r="P82" s="1" t="s">
        <v>73</v>
      </c>
    </row>
    <row r="83" spans="1:16" ht="16" customHeight="1">
      <c r="A83" s="1">
        <v>81</v>
      </c>
      <c r="B83" s="1" t="s">
        <v>64</v>
      </c>
      <c r="C83" s="1" t="s">
        <v>78</v>
      </c>
      <c r="D83" s="26">
        <v>1.1088906168999482</v>
      </c>
      <c r="E83" s="26"/>
      <c r="F83" s="26">
        <v>1506.0088906168999</v>
      </c>
      <c r="G83" s="26"/>
      <c r="H83" s="1" t="s">
        <v>177</v>
      </c>
      <c r="J83" t="s">
        <v>176</v>
      </c>
      <c r="L83" t="s">
        <v>215</v>
      </c>
      <c r="M83" t="s">
        <v>214</v>
      </c>
      <c r="P83" s="1" t="s">
        <v>68</v>
      </c>
    </row>
    <row r="84" spans="1:16" ht="16" customHeight="1">
      <c r="A84" s="1">
        <v>82</v>
      </c>
      <c r="B84" s="1" t="s">
        <v>64</v>
      </c>
      <c r="C84" s="1" t="s">
        <v>78</v>
      </c>
      <c r="D84" s="26">
        <v>0</v>
      </c>
      <c r="E84" s="26"/>
      <c r="F84" s="26">
        <v>1504.8999999999999</v>
      </c>
      <c r="G84" s="26"/>
      <c r="H84" s="1" t="s">
        <v>177</v>
      </c>
      <c r="L84" s="31" t="s">
        <v>216</v>
      </c>
      <c r="M84" t="s">
        <v>215</v>
      </c>
      <c r="O84" s="1" t="s">
        <v>107</v>
      </c>
      <c r="P84" s="1" t="s">
        <v>73</v>
      </c>
    </row>
    <row r="85" spans="1:16" ht="16" customHeight="1">
      <c r="A85" s="1">
        <v>83</v>
      </c>
      <c r="B85" s="1" t="s">
        <v>64</v>
      </c>
      <c r="C85" s="1" t="s">
        <v>92</v>
      </c>
      <c r="D85" s="26">
        <v>229.56019344157539</v>
      </c>
      <c r="E85">
        <v>246.7</v>
      </c>
      <c r="F85" s="26">
        <v>1487.7601934415752</v>
      </c>
      <c r="G85" s="26"/>
      <c r="J85" t="s">
        <v>177</v>
      </c>
      <c r="L85" t="s">
        <v>216</v>
      </c>
      <c r="M85" s="31" t="s">
        <v>216</v>
      </c>
      <c r="P85" s="1" t="s">
        <v>68</v>
      </c>
    </row>
    <row r="86" spans="1:16" ht="16" customHeight="1">
      <c r="A86" s="1">
        <v>84</v>
      </c>
      <c r="B86" s="1" t="s">
        <v>64</v>
      </c>
      <c r="C86" s="1" t="s">
        <v>92</v>
      </c>
      <c r="D86" s="26">
        <v>224.94563013738417</v>
      </c>
      <c r="E86" s="26"/>
      <c r="F86" s="26">
        <v>1483.1456301373839</v>
      </c>
      <c r="G86" s="26"/>
      <c r="L86" s="31" t="s">
        <v>217</v>
      </c>
      <c r="M86" t="s">
        <v>216</v>
      </c>
      <c r="P86" s="1" t="s">
        <v>73</v>
      </c>
    </row>
    <row r="87" spans="1:16" ht="16" customHeight="1">
      <c r="A87" s="1">
        <v>85</v>
      </c>
      <c r="B87" s="1" t="s">
        <v>64</v>
      </c>
      <c r="C87" s="1" t="s">
        <v>92</v>
      </c>
      <c r="D87" s="26">
        <v>210.41763774724797</v>
      </c>
      <c r="E87" s="26"/>
      <c r="F87" s="26">
        <v>1468.6176377472477</v>
      </c>
      <c r="G87" s="26"/>
      <c r="L87" t="s">
        <v>217</v>
      </c>
      <c r="P87" s="1" t="s">
        <v>81</v>
      </c>
    </row>
    <row r="88" spans="1:16" ht="16" customHeight="1">
      <c r="A88" s="1">
        <v>86</v>
      </c>
      <c r="B88" s="1" t="s">
        <v>64</v>
      </c>
      <c r="C88" s="1" t="s">
        <v>92</v>
      </c>
      <c r="D88" s="26">
        <v>208.96304714049202</v>
      </c>
      <c r="E88" s="26"/>
      <c r="F88" s="26">
        <v>1467.1630471404919</v>
      </c>
      <c r="G88" s="26"/>
      <c r="L88" t="s">
        <v>217</v>
      </c>
      <c r="P88" s="1" t="s">
        <v>73</v>
      </c>
    </row>
    <row r="89" spans="1:16" ht="16" customHeight="1">
      <c r="A89" s="1">
        <v>87</v>
      </c>
      <c r="B89" s="1" t="s">
        <v>64</v>
      </c>
      <c r="C89" s="1" t="s">
        <v>92</v>
      </c>
      <c r="D89" s="26">
        <v>198.97079787388537</v>
      </c>
      <c r="E89" s="26"/>
      <c r="F89" s="26">
        <v>1457.1707978738852</v>
      </c>
      <c r="G89" s="26"/>
      <c r="L89" t="s">
        <v>218</v>
      </c>
      <c r="M89" s="31"/>
      <c r="P89" s="1" t="s">
        <v>81</v>
      </c>
    </row>
    <row r="90" spans="1:16" ht="16" customHeight="1">
      <c r="A90" s="1">
        <v>88</v>
      </c>
      <c r="B90" s="1" t="s">
        <v>64</v>
      </c>
      <c r="C90" s="1" t="s">
        <v>92</v>
      </c>
      <c r="D90" s="26">
        <v>173.84865665572627</v>
      </c>
      <c r="E90" s="26"/>
      <c r="F90" s="26">
        <v>1432.0486566557261</v>
      </c>
      <c r="G90" s="26"/>
      <c r="P90" s="1" t="s">
        <v>77</v>
      </c>
    </row>
    <row r="91" spans="1:16" ht="16" customHeight="1">
      <c r="A91" s="1">
        <v>89</v>
      </c>
      <c r="B91" s="1" t="s">
        <v>64</v>
      </c>
      <c r="C91" s="1" t="s">
        <v>92</v>
      </c>
      <c r="D91" s="26">
        <v>152.77858927067297</v>
      </c>
      <c r="E91" s="26"/>
      <c r="F91" s="26">
        <v>1410.9785892706727</v>
      </c>
      <c r="G91" s="26"/>
      <c r="P91" s="1" t="s">
        <v>69</v>
      </c>
    </row>
    <row r="92" spans="1:16" ht="16" customHeight="1">
      <c r="A92" s="1">
        <v>90</v>
      </c>
      <c r="B92" s="1" t="s">
        <v>64</v>
      </c>
      <c r="C92" s="1" t="s">
        <v>92</v>
      </c>
      <c r="D92" s="26">
        <v>151.29175404455546</v>
      </c>
      <c r="E92" s="26"/>
      <c r="F92" s="26">
        <v>1409.4917540445554</v>
      </c>
      <c r="G92" s="26"/>
      <c r="P92" s="1" t="s">
        <v>73</v>
      </c>
    </row>
    <row r="93" spans="1:16" ht="16" customHeight="1">
      <c r="A93" s="1">
        <v>91</v>
      </c>
      <c r="B93" s="1" t="s">
        <v>64</v>
      </c>
      <c r="C93" s="1" t="s">
        <v>92</v>
      </c>
      <c r="D93" s="26">
        <v>95.311512097359781</v>
      </c>
      <c r="E93" s="26"/>
      <c r="F93" s="26">
        <v>1353.5115120973596</v>
      </c>
      <c r="G93" s="26"/>
      <c r="H93" s="1" t="s">
        <v>178</v>
      </c>
      <c r="J93" t="s">
        <v>177</v>
      </c>
      <c r="L93" t="s">
        <v>219</v>
      </c>
      <c r="M93" t="s">
        <v>218</v>
      </c>
      <c r="P93" s="1" t="s">
        <v>69</v>
      </c>
    </row>
    <row r="94" spans="1:16" ht="16" customHeight="1">
      <c r="A94" s="1">
        <v>92</v>
      </c>
      <c r="B94" s="1" t="s">
        <v>64</v>
      </c>
      <c r="C94" s="1" t="s">
        <v>92</v>
      </c>
      <c r="D94" s="26">
        <v>64.962159807139329</v>
      </c>
      <c r="E94" s="26">
        <v>91.069553283569078</v>
      </c>
      <c r="F94" s="26">
        <v>1323.1621598071392</v>
      </c>
      <c r="G94" s="26">
        <v>1349.2695532835689</v>
      </c>
      <c r="P94" s="1" t="s">
        <v>69</v>
      </c>
    </row>
    <row r="95" spans="1:16" ht="16" customHeight="1">
      <c r="A95" s="1">
        <v>93</v>
      </c>
      <c r="B95" s="1" t="s">
        <v>64</v>
      </c>
      <c r="C95" s="1" t="s">
        <v>92</v>
      </c>
      <c r="D95" s="26">
        <v>63.507569200383394</v>
      </c>
      <c r="E95" s="26"/>
      <c r="F95" s="26">
        <v>1321.7075692003832</v>
      </c>
      <c r="G95" s="26"/>
      <c r="P95" s="1" t="s">
        <v>73</v>
      </c>
    </row>
    <row r="96" spans="1:16" ht="16" customHeight="1">
      <c r="A96" s="1">
        <v>94</v>
      </c>
      <c r="B96" s="1" t="s">
        <v>64</v>
      </c>
      <c r="C96" s="1" t="s">
        <v>92</v>
      </c>
      <c r="D96" s="26">
        <v>19.615476778297364</v>
      </c>
      <c r="E96" s="26"/>
      <c r="F96" s="26">
        <v>1277.8154767782971</v>
      </c>
      <c r="G96" s="26"/>
      <c r="M96" t="s">
        <v>219</v>
      </c>
      <c r="P96" s="1" t="s">
        <v>69</v>
      </c>
    </row>
    <row r="97" spans="1:19" ht="16" customHeight="1">
      <c r="A97" s="1">
        <v>95</v>
      </c>
      <c r="B97" s="1" t="s">
        <v>64</v>
      </c>
      <c r="C97" s="1" t="s">
        <v>92</v>
      </c>
      <c r="D97" s="26">
        <v>17.025159022916725</v>
      </c>
      <c r="E97" s="26"/>
      <c r="F97" s="26">
        <v>1275.2251590229166</v>
      </c>
      <c r="G97" s="26"/>
      <c r="L97" t="s">
        <v>220</v>
      </c>
      <c r="P97" s="1" t="s">
        <v>66</v>
      </c>
    </row>
    <row r="98" spans="1:19" ht="16" customHeight="1">
      <c r="A98" s="1">
        <v>96</v>
      </c>
      <c r="B98" s="1" t="s">
        <v>64</v>
      </c>
      <c r="C98" s="1" t="s">
        <v>92</v>
      </c>
      <c r="D98" s="26">
        <v>0</v>
      </c>
      <c r="E98" s="26">
        <v>13.585732957681023</v>
      </c>
      <c r="F98" s="26">
        <v>1258.1999999999998</v>
      </c>
      <c r="G98" s="26">
        <v>1271.7857329576809</v>
      </c>
      <c r="H98" s="1" t="s">
        <v>178</v>
      </c>
      <c r="L98" s="31" t="s">
        <v>222</v>
      </c>
      <c r="M98" t="s">
        <v>220</v>
      </c>
      <c r="O98" s="1" t="s">
        <v>107</v>
      </c>
      <c r="P98" s="1" t="s">
        <v>69</v>
      </c>
    </row>
    <row r="99" spans="1:19" ht="16" customHeight="1">
      <c r="A99" s="1">
        <v>97</v>
      </c>
      <c r="B99" s="1" t="s">
        <v>64</v>
      </c>
      <c r="C99" s="1" t="s">
        <v>93</v>
      </c>
      <c r="D99" s="26">
        <v>159.43693833281682</v>
      </c>
      <c r="E99" s="29">
        <v>161.99999999999997</v>
      </c>
      <c r="F99" s="26">
        <v>1255.6369383328167</v>
      </c>
      <c r="G99" s="26"/>
      <c r="J99" t="s">
        <v>178</v>
      </c>
      <c r="M99" s="31" t="s">
        <v>222</v>
      </c>
      <c r="P99" s="1" t="s">
        <v>73</v>
      </c>
    </row>
    <row r="100" spans="1:19" ht="16" customHeight="1">
      <c r="A100" s="1">
        <v>98</v>
      </c>
      <c r="B100" s="1" t="s">
        <v>64</v>
      </c>
      <c r="C100" s="1" t="s">
        <v>93</v>
      </c>
      <c r="D100" s="26">
        <v>155.77502324140065</v>
      </c>
      <c r="E100" s="26"/>
      <c r="F100" s="26">
        <v>1251.9750232414005</v>
      </c>
      <c r="G100" s="26"/>
      <c r="P100" s="1" t="s">
        <v>66</v>
      </c>
    </row>
    <row r="101" spans="1:19" ht="16" customHeight="1">
      <c r="A101" s="1">
        <v>99</v>
      </c>
      <c r="B101" s="1" t="s">
        <v>64</v>
      </c>
      <c r="C101" s="1" t="s">
        <v>93</v>
      </c>
      <c r="D101" s="26">
        <v>153.32630926557169</v>
      </c>
      <c r="E101" s="26"/>
      <c r="F101" s="26">
        <v>1249.5263092655714</v>
      </c>
      <c r="G101" s="26"/>
      <c r="L101" t="s">
        <v>222</v>
      </c>
      <c r="M101" s="31" t="s">
        <v>222</v>
      </c>
      <c r="P101" s="1" t="s">
        <v>73</v>
      </c>
    </row>
    <row r="102" spans="1:19" ht="16" customHeight="1">
      <c r="A102" s="1">
        <v>100</v>
      </c>
      <c r="B102" s="1" t="s">
        <v>64</v>
      </c>
      <c r="C102" s="1" t="s">
        <v>93</v>
      </c>
      <c r="D102" s="26">
        <v>136.91323210412145</v>
      </c>
      <c r="E102" s="26"/>
      <c r="F102" s="26">
        <v>1233.1132321041214</v>
      </c>
      <c r="G102" s="26"/>
      <c r="L102" s="31" t="s">
        <v>223</v>
      </c>
      <c r="M102" t="s">
        <v>222</v>
      </c>
      <c r="P102" s="1" t="s">
        <v>66</v>
      </c>
    </row>
    <row r="103" spans="1:19" ht="16" customHeight="1">
      <c r="A103" s="1">
        <v>101</v>
      </c>
      <c r="B103" s="1" t="s">
        <v>64</v>
      </c>
      <c r="C103" s="1" t="s">
        <v>93</v>
      </c>
      <c r="D103" s="26">
        <v>135.31515339324449</v>
      </c>
      <c r="E103" s="26"/>
      <c r="F103" s="26">
        <v>1231.5151533932444</v>
      </c>
      <c r="G103" s="26"/>
      <c r="L103" t="s">
        <v>223</v>
      </c>
      <c r="P103" s="1" t="s">
        <v>73</v>
      </c>
    </row>
    <row r="104" spans="1:19" ht="16" customHeight="1">
      <c r="A104" s="1">
        <v>102</v>
      </c>
      <c r="B104" s="1" t="s">
        <v>64</v>
      </c>
      <c r="C104" s="1" t="s">
        <v>93</v>
      </c>
      <c r="D104" s="26">
        <v>110.74155562441896</v>
      </c>
      <c r="E104" s="26"/>
      <c r="F104" s="26">
        <v>1206.9415556244187</v>
      </c>
      <c r="G104" s="26"/>
      <c r="P104" s="1" t="s">
        <v>66</v>
      </c>
    </row>
    <row r="105" spans="1:19" ht="16" customHeight="1">
      <c r="A105" s="1">
        <v>103</v>
      </c>
      <c r="B105" s="1" t="s">
        <v>64</v>
      </c>
      <c r="C105" s="1" t="s">
        <v>93</v>
      </c>
      <c r="D105" s="26">
        <v>107.89401921289122</v>
      </c>
      <c r="E105" s="26"/>
      <c r="F105" s="26">
        <v>1204.094019212891</v>
      </c>
      <c r="G105" s="26"/>
      <c r="P105" s="1" t="s">
        <v>69</v>
      </c>
    </row>
    <row r="106" spans="1:19" ht="16" customHeight="1">
      <c r="A106" s="1">
        <v>104</v>
      </c>
      <c r="B106" s="1" t="s">
        <v>64</v>
      </c>
      <c r="C106" s="1" t="s">
        <v>93</v>
      </c>
      <c r="D106" s="26">
        <v>84.809730399752084</v>
      </c>
      <c r="E106" s="26"/>
      <c r="F106" s="26">
        <v>1181.0097303997518</v>
      </c>
      <c r="G106" s="26"/>
      <c r="L106" t="s">
        <v>224</v>
      </c>
      <c r="M106" t="s">
        <v>223</v>
      </c>
      <c r="P106" s="1" t="s">
        <v>86</v>
      </c>
    </row>
    <row r="107" spans="1:19" ht="16" customHeight="1">
      <c r="A107" s="1">
        <v>105</v>
      </c>
      <c r="B107" s="1" t="s">
        <v>64</v>
      </c>
      <c r="C107" s="1" t="s">
        <v>93</v>
      </c>
      <c r="D107" s="26">
        <v>83.507282305546937</v>
      </c>
      <c r="E107" s="26"/>
      <c r="F107" s="26">
        <v>1179.7072823055469</v>
      </c>
      <c r="G107" s="26"/>
      <c r="P107" s="1" t="s">
        <v>73</v>
      </c>
    </row>
    <row r="108" spans="1:19" ht="16" customHeight="1">
      <c r="A108" s="1">
        <v>106</v>
      </c>
      <c r="B108" s="1" t="s">
        <v>64</v>
      </c>
      <c r="C108" s="1" t="s">
        <v>93</v>
      </c>
      <c r="D108" s="26">
        <v>71.325069724202038</v>
      </c>
      <c r="E108" s="26"/>
      <c r="F108" s="26">
        <v>1167.5250697242018</v>
      </c>
      <c r="G108" s="26"/>
      <c r="L108" s="31" t="s">
        <v>225</v>
      </c>
      <c r="M108" t="s">
        <v>224</v>
      </c>
      <c r="P108" s="1" t="s">
        <v>86</v>
      </c>
    </row>
    <row r="109" spans="1:19" ht="16" customHeight="1">
      <c r="A109" s="1">
        <v>107</v>
      </c>
      <c r="B109" s="1" t="s">
        <v>64</v>
      </c>
      <c r="C109" s="1" t="s">
        <v>93</v>
      </c>
      <c r="D109" s="26">
        <v>41.965602726991008</v>
      </c>
      <c r="E109" s="26"/>
      <c r="F109" s="26">
        <v>1138.1656027269908</v>
      </c>
      <c r="G109" s="26"/>
      <c r="H109" s="1" t="s">
        <v>179</v>
      </c>
      <c r="J109" t="s">
        <v>178</v>
      </c>
      <c r="L109" s="31"/>
      <c r="M109" s="31" t="s">
        <v>225</v>
      </c>
      <c r="P109" s="1" t="s">
        <v>95</v>
      </c>
    </row>
    <row r="110" spans="1:19" ht="16" customHeight="1">
      <c r="A110" s="1">
        <v>108</v>
      </c>
      <c r="B110" s="1" t="s">
        <v>64</v>
      </c>
      <c r="C110" s="1" t="s">
        <v>93</v>
      </c>
      <c r="D110" s="26">
        <v>28.645491168267736</v>
      </c>
      <c r="E110" s="26"/>
      <c r="F110" s="26">
        <v>1124.8454911682675</v>
      </c>
      <c r="G110" s="26"/>
      <c r="P110" s="1" t="s">
        <v>96</v>
      </c>
    </row>
    <row r="111" spans="1:19" ht="16" customHeight="1">
      <c r="A111" s="1">
        <v>109</v>
      </c>
      <c r="B111" s="1" t="s">
        <v>64</v>
      </c>
      <c r="C111" s="1" t="s">
        <v>93</v>
      </c>
      <c r="D111" s="26">
        <v>0</v>
      </c>
      <c r="E111" s="26"/>
      <c r="F111" s="26">
        <v>1096.2</v>
      </c>
      <c r="G111" s="26"/>
      <c r="H111" s="1" t="s">
        <v>179</v>
      </c>
      <c r="O111" s="1" t="s">
        <v>107</v>
      </c>
      <c r="P111" s="1" t="s">
        <v>95</v>
      </c>
      <c r="S111" t="s">
        <v>103</v>
      </c>
    </row>
    <row r="112" spans="1:19" ht="16" customHeight="1">
      <c r="A112" s="1">
        <v>110</v>
      </c>
      <c r="B112" s="1" t="s">
        <v>64</v>
      </c>
      <c r="C112" s="1" t="s">
        <v>97</v>
      </c>
      <c r="D112" s="29">
        <v>702.32558139534876</v>
      </c>
      <c r="E112" s="29">
        <v>790</v>
      </c>
      <c r="F112" s="29">
        <v>1008.5255813953488</v>
      </c>
      <c r="G112" s="26"/>
      <c r="J112" s="30" t="s">
        <v>179</v>
      </c>
      <c r="P112" t="s">
        <v>159</v>
      </c>
    </row>
    <row r="113" spans="1:16" ht="16" customHeight="1">
      <c r="A113" s="1">
        <v>111</v>
      </c>
      <c r="B113" s="1" t="s">
        <v>64</v>
      </c>
      <c r="C113" s="1" t="s">
        <v>97</v>
      </c>
      <c r="D113" s="29">
        <v>629.91840065279473</v>
      </c>
      <c r="E113" s="29"/>
      <c r="F113" s="29">
        <v>936.11840065279466</v>
      </c>
      <c r="M113" s="31" t="s">
        <v>226</v>
      </c>
      <c r="P113" t="s">
        <v>159</v>
      </c>
    </row>
    <row r="114" spans="1:16" ht="16" customHeight="1">
      <c r="A114" s="1">
        <v>112</v>
      </c>
      <c r="B114" s="1" t="s">
        <v>64</v>
      </c>
      <c r="C114" s="1" t="s">
        <v>97</v>
      </c>
      <c r="D114" s="29">
        <v>600.00407996736021</v>
      </c>
      <c r="E114" s="29"/>
      <c r="F114" s="29">
        <v>906.20407996736026</v>
      </c>
      <c r="P114" t="s">
        <v>69</v>
      </c>
    </row>
    <row r="115" spans="1:16" ht="16" customHeight="1">
      <c r="A115" s="1">
        <v>113</v>
      </c>
      <c r="B115" s="1" t="s">
        <v>64</v>
      </c>
      <c r="C115" s="1" t="s">
        <v>97</v>
      </c>
      <c r="D115" s="29">
        <v>423.65151621335013</v>
      </c>
      <c r="E115" s="29"/>
      <c r="F115" s="29">
        <v>729.85151621335012</v>
      </c>
      <c r="M115" s="31" t="s">
        <v>227</v>
      </c>
      <c r="P115" t="s">
        <v>159</v>
      </c>
    </row>
    <row r="116" spans="1:16" ht="16" customHeight="1">
      <c r="A116" s="1">
        <v>114</v>
      </c>
      <c r="B116" s="1" t="s">
        <v>64</v>
      </c>
      <c r="C116" s="1" t="s">
        <v>97</v>
      </c>
      <c r="D116" s="29">
        <v>420.86618643247908</v>
      </c>
      <c r="E116" s="29"/>
      <c r="F116" s="29">
        <v>727.06618643247907</v>
      </c>
      <c r="P116" t="s">
        <v>69</v>
      </c>
    </row>
    <row r="117" spans="1:16" ht="16" customHeight="1">
      <c r="A117" s="1">
        <v>115</v>
      </c>
      <c r="B117" s="1" t="s">
        <v>64</v>
      </c>
      <c r="C117" s="1" t="s">
        <v>97</v>
      </c>
      <c r="D117" s="29">
        <v>399.94154938174773</v>
      </c>
      <c r="E117" s="29">
        <v>408.47289623618741</v>
      </c>
      <c r="F117" s="29">
        <v>706.14154938174772</v>
      </c>
      <c r="P117" t="s">
        <v>69</v>
      </c>
    </row>
    <row r="118" spans="1:16" ht="16" customHeight="1">
      <c r="A118" s="1">
        <v>116</v>
      </c>
      <c r="B118" s="1" t="s">
        <v>64</v>
      </c>
      <c r="C118" s="1" t="s">
        <v>97</v>
      </c>
      <c r="D118" s="29">
        <v>300.00407996736027</v>
      </c>
      <c r="E118" s="29"/>
      <c r="F118" s="29">
        <v>606.20407996736026</v>
      </c>
      <c r="M118" s="31" t="s">
        <v>228</v>
      </c>
      <c r="P118" t="s">
        <v>160</v>
      </c>
    </row>
    <row r="119" spans="1:16" ht="16" customHeight="1">
      <c r="A119" s="1">
        <v>117</v>
      </c>
      <c r="B119" s="1" t="s">
        <v>64</v>
      </c>
      <c r="C119" s="1" t="s">
        <v>97</v>
      </c>
      <c r="D119" s="29">
        <v>110.81191350469196</v>
      </c>
      <c r="E119" s="29"/>
      <c r="F119" s="29">
        <v>417.01191350469196</v>
      </c>
      <c r="P119" t="s">
        <v>160</v>
      </c>
    </row>
    <row r="120" spans="1:16" ht="16" customHeight="1">
      <c r="A120" s="1">
        <v>118</v>
      </c>
      <c r="B120" s="1" t="s">
        <v>64</v>
      </c>
      <c r="C120" s="1" t="s">
        <v>97</v>
      </c>
      <c r="D120" s="29">
        <v>102.72541819665442</v>
      </c>
      <c r="E120" s="29"/>
      <c r="F120" s="29">
        <v>408.92541819665439</v>
      </c>
      <c r="P120" t="s">
        <v>72</v>
      </c>
    </row>
    <row r="121" spans="1:16" ht="16" customHeight="1">
      <c r="A121" s="1">
        <v>119</v>
      </c>
      <c r="B121" s="1" t="s">
        <v>64</v>
      </c>
      <c r="C121" s="1" t="s">
        <v>97</v>
      </c>
      <c r="D121" s="29">
        <v>28.298653610771115</v>
      </c>
      <c r="E121" s="29"/>
      <c r="F121" s="29">
        <v>334.4986536107711</v>
      </c>
      <c r="P121" t="s">
        <v>96</v>
      </c>
    </row>
    <row r="122" spans="1:16" ht="16" customHeight="1">
      <c r="A122" s="1">
        <v>120</v>
      </c>
      <c r="B122" s="1" t="s">
        <v>64</v>
      </c>
      <c r="C122" s="1" t="s">
        <v>97</v>
      </c>
      <c r="D122" s="29">
        <v>18.86576907384741</v>
      </c>
      <c r="E122" s="29"/>
      <c r="F122" s="29">
        <v>325.06576907384738</v>
      </c>
      <c r="P122" t="s">
        <v>72</v>
      </c>
    </row>
    <row r="123" spans="1:16" ht="16" customHeight="1">
      <c r="A123" s="1">
        <v>121</v>
      </c>
      <c r="B123" s="1" t="s">
        <v>64</v>
      </c>
      <c r="C123" s="1" t="s">
        <v>97</v>
      </c>
      <c r="D123" s="29">
        <v>0</v>
      </c>
      <c r="E123" s="29"/>
      <c r="F123" s="29">
        <v>306.2</v>
      </c>
      <c r="H123" s="1" t="s">
        <v>180</v>
      </c>
      <c r="I123" s="1">
        <v>0</v>
      </c>
      <c r="O123" s="1" t="s">
        <v>108</v>
      </c>
      <c r="P123" t="s">
        <v>96</v>
      </c>
    </row>
    <row r="124" spans="1:16" ht="16">
      <c r="A124" s="1">
        <v>122</v>
      </c>
      <c r="B124" s="1" t="s">
        <v>64</v>
      </c>
      <c r="C124" s="1" t="s">
        <v>94</v>
      </c>
      <c r="D124" s="26">
        <v>285.60862979114069</v>
      </c>
      <c r="E124" s="26">
        <v>306.2</v>
      </c>
      <c r="F124" s="26">
        <v>285.60862979114103</v>
      </c>
      <c r="G124" s="26"/>
      <c r="J124" t="s">
        <v>181</v>
      </c>
      <c r="K124">
        <v>1</v>
      </c>
      <c r="P124" s="1" t="s">
        <v>98</v>
      </c>
    </row>
    <row r="125" spans="1:16" ht="16">
      <c r="A125" s="1">
        <v>123</v>
      </c>
      <c r="B125" s="1" t="s">
        <v>64</v>
      </c>
      <c r="C125" s="1" t="s">
        <v>94</v>
      </c>
      <c r="D125" s="26">
        <v>276.57794353913243</v>
      </c>
      <c r="E125" s="26"/>
      <c r="F125" s="26">
        <v>276.57794353913243</v>
      </c>
      <c r="G125" s="26"/>
      <c r="P125" s="1" t="s">
        <v>96</v>
      </c>
    </row>
    <row r="126" spans="1:16" ht="16">
      <c r="A126" s="1">
        <v>124</v>
      </c>
      <c r="B126" s="1" t="s">
        <v>64</v>
      </c>
      <c r="C126" s="1" t="s">
        <v>94</v>
      </c>
      <c r="D126" s="26">
        <v>230.81153444010917</v>
      </c>
      <c r="E126" s="26"/>
      <c r="F126" s="26">
        <v>230.81153444010917</v>
      </c>
      <c r="G126" s="26"/>
      <c r="P126" s="1" t="s">
        <v>99</v>
      </c>
    </row>
    <row r="127" spans="1:16" ht="16">
      <c r="A127" s="1">
        <v>125</v>
      </c>
      <c r="B127" s="1" t="s">
        <v>64</v>
      </c>
      <c r="C127" s="1" t="s">
        <v>94</v>
      </c>
      <c r="D127" s="26">
        <v>215.68230433784717</v>
      </c>
      <c r="E127" s="26"/>
      <c r="F127" s="26">
        <v>215.68230433784717</v>
      </c>
      <c r="G127" s="26"/>
      <c r="H127" s="1" t="s">
        <v>161</v>
      </c>
      <c r="J127" s="1" t="s">
        <v>181</v>
      </c>
      <c r="M127" s="31" t="s">
        <v>229</v>
      </c>
      <c r="P127" s="1" t="s">
        <v>71</v>
      </c>
    </row>
    <row r="128" spans="1:16" ht="16">
      <c r="A128" s="1">
        <v>126</v>
      </c>
      <c r="B128" s="1" t="s">
        <v>64</v>
      </c>
      <c r="C128" s="1" t="s">
        <v>94</v>
      </c>
      <c r="D128" s="26">
        <v>204.45348736388445</v>
      </c>
      <c r="E128" s="26"/>
      <c r="F128" s="26">
        <v>204.45348736388445</v>
      </c>
      <c r="G128" s="26"/>
      <c r="P128" s="1" t="s">
        <v>69</v>
      </c>
    </row>
    <row r="129" spans="1:19" ht="16">
      <c r="A129" s="1">
        <v>127</v>
      </c>
      <c r="B129" s="1" t="s">
        <v>64</v>
      </c>
      <c r="C129" s="1" t="s">
        <v>94</v>
      </c>
      <c r="D129" s="26">
        <v>183.57319766404001</v>
      </c>
      <c r="E129" s="26"/>
      <c r="F129" s="26">
        <v>183.57319766404001</v>
      </c>
      <c r="G129" s="26"/>
      <c r="P129" s="1" t="s">
        <v>71</v>
      </c>
    </row>
    <row r="130" spans="1:19" ht="16">
      <c r="A130" s="1">
        <v>128</v>
      </c>
      <c r="B130" s="1" t="s">
        <v>64</v>
      </c>
      <c r="C130" s="1" t="s">
        <v>94</v>
      </c>
      <c r="D130" s="26">
        <v>177.38875882997988</v>
      </c>
      <c r="E130" s="26"/>
      <c r="F130" s="26">
        <v>177.38875882997988</v>
      </c>
      <c r="G130" s="26"/>
      <c r="P130" s="1" t="s">
        <v>67</v>
      </c>
    </row>
    <row r="131" spans="1:19" ht="16">
      <c r="A131" s="1">
        <v>129</v>
      </c>
      <c r="B131" s="1" t="s">
        <v>64</v>
      </c>
      <c r="C131" s="1" t="s">
        <v>94</v>
      </c>
      <c r="D131" s="26">
        <v>168.04963149975777</v>
      </c>
      <c r="E131" s="26"/>
      <c r="F131" s="26">
        <v>168.04963149975777</v>
      </c>
      <c r="G131" s="26"/>
      <c r="P131" s="1" t="s">
        <v>69</v>
      </c>
    </row>
    <row r="132" spans="1:19" ht="16">
      <c r="A132" s="1">
        <v>130</v>
      </c>
      <c r="B132" s="1" t="s">
        <v>64</v>
      </c>
      <c r="C132" s="1" t="s">
        <v>94</v>
      </c>
      <c r="D132" s="26">
        <v>162.74366409099025</v>
      </c>
      <c r="E132" s="26"/>
      <c r="F132" s="26">
        <v>162.74366409099025</v>
      </c>
      <c r="G132" s="26"/>
      <c r="P132" s="1" t="s">
        <v>68</v>
      </c>
    </row>
    <row r="133" spans="1:19" ht="16">
      <c r="A133" s="1">
        <v>131</v>
      </c>
      <c r="B133" s="1" t="s">
        <v>64</v>
      </c>
      <c r="C133" s="1" t="s">
        <v>94</v>
      </c>
      <c r="D133" s="26">
        <v>147.07173386376968</v>
      </c>
      <c r="E133" s="26"/>
      <c r="F133" s="26">
        <v>147.07173386376968</v>
      </c>
      <c r="G133" s="26"/>
      <c r="O133" s="1" t="s">
        <v>108</v>
      </c>
      <c r="P133" s="1" t="s">
        <v>96</v>
      </c>
      <c r="S133" t="s">
        <v>104</v>
      </c>
    </row>
    <row r="134" spans="1:19" ht="16">
      <c r="A134" s="1">
        <v>132</v>
      </c>
      <c r="B134" s="1" t="s">
        <v>64</v>
      </c>
      <c r="C134" s="1" t="s">
        <v>94</v>
      </c>
      <c r="D134" s="26">
        <v>0</v>
      </c>
      <c r="E134" s="26"/>
      <c r="F134" s="26">
        <v>0</v>
      </c>
      <c r="G134" s="26"/>
      <c r="H134" s="1" t="s">
        <v>161</v>
      </c>
      <c r="O134" s="1" t="s">
        <v>100</v>
      </c>
    </row>
  </sheetData>
  <autoFilter ref="A1:A123" xr:uid="{A28FFD51-ADBD-449D-82B6-FD1C9C527D60}"/>
  <phoneticPr fontId="13" type="noConversion"/>
  <conditionalFormatting sqref="O1">
    <cfRule type="expression" dxfId="1" priority="2">
      <formula>ISEVEN(#REF!)</formula>
    </cfRule>
  </conditionalFormatting>
  <conditionalFormatting sqref="P1:U1">
    <cfRule type="expression" dxfId="0" priority="1">
      <formula>ISEVEN($A1)</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D0C08-4FA7-104A-B9CE-E7922DD8151D}">
  <dimension ref="A1:K10"/>
  <sheetViews>
    <sheetView zoomScale="90" zoomScaleNormal="100" workbookViewId="0">
      <selection activeCell="G4" sqref="G4"/>
    </sheetView>
  </sheetViews>
  <sheetFormatPr baseColWidth="10" defaultRowHeight="15"/>
  <cols>
    <col min="1" max="1" width="17" customWidth="1"/>
    <col min="2" max="2" width="24.5" customWidth="1"/>
    <col min="3" max="3" width="14.5" customWidth="1"/>
    <col min="4" max="4" width="51.33203125" customWidth="1"/>
    <col min="5" max="5" width="33" style="1" customWidth="1"/>
    <col min="6" max="6" width="21.1640625" style="1" customWidth="1"/>
    <col min="7" max="7" width="28.1640625" style="1" customWidth="1"/>
    <col min="8" max="8" width="27.33203125" style="1" customWidth="1"/>
    <col min="9" max="9" width="47.83203125" customWidth="1"/>
    <col min="10" max="10" width="44.6640625" customWidth="1"/>
    <col min="11" max="11" width="49" customWidth="1"/>
  </cols>
  <sheetData>
    <row r="1" spans="1:11" ht="16">
      <c r="A1" t="s">
        <v>51</v>
      </c>
      <c r="B1" s="25" t="s">
        <v>52</v>
      </c>
      <c r="C1" s="25" t="s">
        <v>53</v>
      </c>
      <c r="D1" s="25" t="s">
        <v>37</v>
      </c>
      <c r="E1" s="25" t="s">
        <v>35</v>
      </c>
      <c r="F1" s="25" t="s">
        <v>5</v>
      </c>
      <c r="G1" s="25" t="s">
        <v>54</v>
      </c>
      <c r="H1" s="25" t="s">
        <v>6</v>
      </c>
      <c r="I1" s="25" t="s">
        <v>110</v>
      </c>
      <c r="J1" s="25" t="s">
        <v>111</v>
      </c>
      <c r="K1" s="25" t="s">
        <v>112</v>
      </c>
    </row>
    <row r="2" spans="1:11" ht="224" customHeight="1">
      <c r="A2" t="s">
        <v>66</v>
      </c>
      <c r="B2" t="s">
        <v>55</v>
      </c>
      <c r="D2" t="s">
        <v>141</v>
      </c>
      <c r="E2" s="1" t="s">
        <v>234</v>
      </c>
      <c r="F2" s="1" t="s">
        <v>113</v>
      </c>
      <c r="H2" s="1" t="s">
        <v>248</v>
      </c>
      <c r="I2" s="1" t="s">
        <v>114</v>
      </c>
      <c r="J2" s="1" t="s">
        <v>115</v>
      </c>
      <c r="K2" s="1" t="s">
        <v>116</v>
      </c>
    </row>
    <row r="3" spans="1:11" ht="110" customHeight="1">
      <c r="A3" t="s">
        <v>67</v>
      </c>
      <c r="B3" t="s">
        <v>56</v>
      </c>
      <c r="D3" t="s">
        <v>142</v>
      </c>
      <c r="E3" s="1" t="s">
        <v>233</v>
      </c>
      <c r="F3" s="1" t="s">
        <v>247</v>
      </c>
      <c r="H3" s="1" t="s">
        <v>248</v>
      </c>
      <c r="I3" s="1" t="s">
        <v>117</v>
      </c>
      <c r="J3" s="1" t="s">
        <v>118</v>
      </c>
      <c r="K3" s="1" t="s">
        <v>119</v>
      </c>
    </row>
    <row r="4" spans="1:11" ht="80" customHeight="1">
      <c r="A4" t="s">
        <v>68</v>
      </c>
      <c r="B4" t="s">
        <v>57</v>
      </c>
      <c r="D4" t="s">
        <v>143</v>
      </c>
      <c r="E4" s="1" t="s">
        <v>231</v>
      </c>
      <c r="F4" s="1" t="s">
        <v>232</v>
      </c>
      <c r="H4" s="1" t="s">
        <v>248</v>
      </c>
      <c r="I4" s="1" t="s">
        <v>120</v>
      </c>
      <c r="J4" s="1" t="s">
        <v>121</v>
      </c>
      <c r="K4" s="1" t="s">
        <v>122</v>
      </c>
    </row>
    <row r="5" spans="1:11" ht="139" customHeight="1">
      <c r="A5" t="s">
        <v>69</v>
      </c>
      <c r="B5" t="s">
        <v>58</v>
      </c>
      <c r="D5" t="s">
        <v>144</v>
      </c>
      <c r="E5" s="1" t="s">
        <v>236</v>
      </c>
      <c r="F5" s="1" t="s">
        <v>235</v>
      </c>
      <c r="H5" s="1" t="s">
        <v>248</v>
      </c>
      <c r="I5" s="1" t="s">
        <v>123</v>
      </c>
      <c r="J5" s="1" t="s">
        <v>124</v>
      </c>
      <c r="K5" s="1" t="s">
        <v>125</v>
      </c>
    </row>
    <row r="6" spans="1:11" ht="109" customHeight="1">
      <c r="A6" t="s">
        <v>70</v>
      </c>
      <c r="B6" t="s">
        <v>59</v>
      </c>
      <c r="D6" t="s">
        <v>145</v>
      </c>
      <c r="E6" s="1" t="s">
        <v>240</v>
      </c>
      <c r="F6" s="1" t="s">
        <v>239</v>
      </c>
      <c r="H6" s="1" t="s">
        <v>248</v>
      </c>
      <c r="I6" s="1" t="s">
        <v>127</v>
      </c>
      <c r="J6" s="1" t="s">
        <v>126</v>
      </c>
      <c r="K6" s="1" t="s">
        <v>128</v>
      </c>
    </row>
    <row r="7" spans="1:11" ht="110" customHeight="1">
      <c r="A7" t="s">
        <v>71</v>
      </c>
      <c r="B7" t="s">
        <v>60</v>
      </c>
      <c r="D7" t="s">
        <v>146</v>
      </c>
      <c r="E7" s="1" t="s">
        <v>238</v>
      </c>
      <c r="F7" s="1" t="s">
        <v>237</v>
      </c>
      <c r="H7" s="1" t="s">
        <v>248</v>
      </c>
      <c r="I7" s="1" t="s">
        <v>129</v>
      </c>
      <c r="J7" s="1" t="s">
        <v>130</v>
      </c>
      <c r="K7" s="1" t="s">
        <v>131</v>
      </c>
    </row>
    <row r="8" spans="1:11" ht="112">
      <c r="A8" t="s">
        <v>72</v>
      </c>
      <c r="B8" t="s">
        <v>61</v>
      </c>
      <c r="D8" t="s">
        <v>147</v>
      </c>
      <c r="E8" s="1" t="s">
        <v>241</v>
      </c>
      <c r="F8" s="1" t="s">
        <v>242</v>
      </c>
      <c r="H8" s="1" t="s">
        <v>248</v>
      </c>
      <c r="I8" s="1" t="s">
        <v>132</v>
      </c>
      <c r="J8" s="1" t="s">
        <v>133</v>
      </c>
      <c r="K8" s="1" t="s">
        <v>134</v>
      </c>
    </row>
    <row r="9" spans="1:11" ht="123" customHeight="1">
      <c r="A9" t="s">
        <v>73</v>
      </c>
      <c r="B9" t="s">
        <v>62</v>
      </c>
      <c r="D9" t="s">
        <v>148</v>
      </c>
      <c r="E9" s="1" t="s">
        <v>244</v>
      </c>
      <c r="F9" s="1" t="s">
        <v>243</v>
      </c>
      <c r="H9" s="1" t="s">
        <v>248</v>
      </c>
      <c r="I9" s="1" t="s">
        <v>135</v>
      </c>
      <c r="J9" s="1" t="s">
        <v>136</v>
      </c>
      <c r="K9" s="1" t="s">
        <v>137</v>
      </c>
    </row>
    <row r="10" spans="1:11" ht="126" customHeight="1">
      <c r="A10" t="s">
        <v>74</v>
      </c>
      <c r="B10" t="s">
        <v>63</v>
      </c>
      <c r="D10" t="s">
        <v>149</v>
      </c>
      <c r="E10" s="1" t="s">
        <v>245</v>
      </c>
      <c r="F10" s="1" t="s">
        <v>246</v>
      </c>
      <c r="H10" s="1" t="s">
        <v>248</v>
      </c>
      <c r="I10" s="1" t="s">
        <v>138</v>
      </c>
      <c r="J10" s="1" t="s">
        <v>139</v>
      </c>
      <c r="K10" s="1" t="s">
        <v>140</v>
      </c>
    </row>
  </sheetData>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615FF-0968-7A44-B4C7-56243043F48A}">
  <dimension ref="A1:O2"/>
  <sheetViews>
    <sheetView tabSelected="1" topLeftCell="B1" workbookViewId="0">
      <selection activeCell="K2" sqref="K2"/>
    </sheetView>
  </sheetViews>
  <sheetFormatPr baseColWidth="10" defaultRowHeight="15"/>
  <cols>
    <col min="4" max="4" width="12.1640625" bestFit="1" customWidth="1"/>
    <col min="5" max="5" width="14.33203125" customWidth="1"/>
    <col min="6" max="6" width="12.5" customWidth="1"/>
    <col min="7" max="7" width="13.1640625" customWidth="1"/>
    <col min="9" max="9" width="19.5" customWidth="1"/>
  </cols>
  <sheetData>
    <row r="1" spans="1:15">
      <c r="A1" s="6" t="s">
        <v>10</v>
      </c>
      <c r="B1" s="6" t="s">
        <v>11</v>
      </c>
      <c r="C1" t="s">
        <v>12</v>
      </c>
      <c r="D1" t="s">
        <v>45</v>
      </c>
      <c r="E1" t="s">
        <v>14</v>
      </c>
      <c r="F1" t="s">
        <v>15</v>
      </c>
      <c r="G1" t="s">
        <v>31</v>
      </c>
      <c r="H1" t="s">
        <v>34</v>
      </c>
      <c r="I1" t="s">
        <v>33</v>
      </c>
      <c r="J1" t="s">
        <v>2</v>
      </c>
      <c r="K1" t="s">
        <v>1</v>
      </c>
      <c r="L1" s="6" t="s">
        <v>13</v>
      </c>
      <c r="M1" s="6" t="s">
        <v>38</v>
      </c>
      <c r="N1" s="6" t="s">
        <v>36</v>
      </c>
      <c r="O1" s="6"/>
    </row>
    <row r="2" spans="1:15">
      <c r="A2" t="s">
        <v>64</v>
      </c>
      <c r="B2" t="s">
        <v>152</v>
      </c>
      <c r="D2" t="s">
        <v>251</v>
      </c>
      <c r="E2" t="s">
        <v>151</v>
      </c>
      <c r="F2" t="s">
        <v>249</v>
      </c>
      <c r="H2" t="s">
        <v>161</v>
      </c>
      <c r="I2" t="s">
        <v>163</v>
      </c>
      <c r="L2" t="inlineStr">
        <is>
          <t xml:space="preserve">LINESTRING(-135.58285 65.884392, -135.614518 65.874512, -135.590261 65.881752, -135.614518 65.874512, -135.63898 65.876358, -135.646407 65.875853, -135.66724 65.873555, -135.666052 65.873173, -135.66813 65.873029, -135.667378 65.873898, -135.669039 65.872632, -135.709033 65.880767, -135.74485 65.877133, -135.745033 65.877033, -135.764983 65.876483, -135.748317 65.876483, -135.759983 65.872133, -135.754891 65.869714, -135.761648 65.867955, -135.763178 65.86773, -135.845633 65.866017)</t>
        </is>
      </c>
      <c r="N2" t="s">
        <v>153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0C1A4-04CF-B245-9DBA-6B8E9C974C07}">
  <dimension ref="A1:J2"/>
  <sheetViews>
    <sheetView workbookViewId="0">
      <selection activeCell="B9" sqref="B9"/>
    </sheetView>
  </sheetViews>
  <sheetFormatPr baseColWidth="10" defaultRowHeight="15"/>
  <cols>
    <col min="1" max="1" width="15.5" customWidth="1"/>
    <col min="2" max="2" width="29.83203125" customWidth="1"/>
    <col min="5" max="5" width="12.6640625" customWidth="1"/>
  </cols>
  <sheetData>
    <row r="1" spans="1:10">
      <c r="A1" t="s">
        <v>22</v>
      </c>
      <c r="B1" t="s">
        <v>23</v>
      </c>
      <c r="C1" t="s">
        <v>24</v>
      </c>
      <c r="D1" t="s">
        <v>25</v>
      </c>
      <c r="E1" t="s">
        <v>27</v>
      </c>
      <c r="F1" t="s">
        <v>42</v>
      </c>
      <c r="G1" t="s">
        <v>18</v>
      </c>
      <c r="H1" t="s">
        <v>26</v>
      </c>
      <c r="I1" t="s">
        <v>28</v>
      </c>
      <c r="J1" t="s">
        <v>36</v>
      </c>
    </row>
    <row r="2" spans="1:10">
      <c r="A2" t="s">
        <v>251</v>
      </c>
      <c r="B2" t="s">
        <v>154</v>
      </c>
      <c r="C2" s="27" t="s">
        <v>155</v>
      </c>
      <c r="D2" t="s">
        <v>156</v>
      </c>
      <c r="G2">
        <v>2020</v>
      </c>
      <c r="H2" s="28" t="s">
        <v>157</v>
      </c>
      <c r="I2" t="s">
        <v>158</v>
      </c>
    </row>
  </sheetData>
  <hyperlinks>
    <hyperlink ref="H2" r:id="rId1" display="https://doi.org/10.1139/cjes-2020-0017" xr:uid="{CA608D85-B471-9841-9EC8-9045D2A217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units</vt:lpstr>
      <vt:lpstr>facies</vt:lpstr>
      <vt:lpstr>columns</vt:lpstr>
      <vt:lpstr>refs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Daven Quinn</cp:lastModifiedBy>
  <dcterms:created xsi:type="dcterms:W3CDTF">2024-12-03T18:21:58Z</dcterms:created>
  <dcterms:modified xsi:type="dcterms:W3CDTF">2026-10-10T11:17:56Z</dcterms:modified>
</cp:coreProperties>
</file>